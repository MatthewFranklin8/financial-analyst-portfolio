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2ba31c5c232139/Desktop/"/>
    </mc:Choice>
  </mc:AlternateContent>
  <xr:revisionPtr revIDLastSave="2726" documentId="8_{54BF285B-E9CF-471B-AF9B-E23BA038484B}" xr6:coauthVersionLast="47" xr6:coauthVersionMax="47" xr10:uidLastSave="{00A95E64-CE5B-4B97-BEC3-E35B52EB5698}"/>
  <bookViews>
    <workbookView xWindow="-110" yWindow="-110" windowWidth="24220" windowHeight="15500" firstSheet="4" activeTab="6" xr2:uid="{65A2FB46-A96B-465D-A182-4013E0EE9C36}"/>
  </bookViews>
  <sheets>
    <sheet name="Cover" sheetId="1" r:id="rId1"/>
    <sheet name="Assumptions" sheetId="2" r:id="rId2"/>
    <sheet name="Historical" sheetId="3" r:id="rId3"/>
    <sheet name="Revenue Build" sheetId="4" r:id="rId4"/>
    <sheet name="P&amp;L" sheetId="5" r:id="rId5"/>
    <sheet name="Scenario" sheetId="6" r:id="rId6"/>
    <sheet name="Variance" sheetId="7" r:id="rId7"/>
    <sheet name="Dashboard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0" i="1" l="1"/>
  <c r="B71" i="8"/>
  <c r="C71" i="8"/>
  <c r="D71" i="8"/>
  <c r="E70" i="8"/>
  <c r="E69" i="8"/>
  <c r="E68" i="8"/>
  <c r="E67" i="8"/>
  <c r="B66" i="8"/>
  <c r="C66" i="8"/>
  <c r="D66" i="8"/>
  <c r="E66" i="8"/>
  <c r="F66" i="8"/>
  <c r="A66" i="8"/>
  <c r="A67" i="8"/>
  <c r="A68" i="8"/>
  <c r="A69" i="8"/>
  <c r="A70" i="8"/>
  <c r="A71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2" i="8"/>
  <c r="X52" i="8"/>
  <c r="Y52" i="8"/>
  <c r="Z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B34" i="7"/>
  <c r="E28" i="7"/>
  <c r="D28" i="7"/>
  <c r="B28" i="7"/>
  <c r="B27" i="7"/>
  <c r="B26" i="7"/>
  <c r="B16" i="7"/>
  <c r="F10" i="7"/>
  <c r="C10" i="7"/>
  <c r="C26" i="7" s="1"/>
  <c r="B10" i="7"/>
  <c r="G9" i="7"/>
  <c r="H9" i="7" s="1"/>
  <c r="F9" i="7"/>
  <c r="B9" i="7"/>
  <c r="D9" i="7" s="1"/>
  <c r="E9" i="7" s="1"/>
  <c r="G8" i="7"/>
  <c r="H8" i="7" s="1"/>
  <c r="F8" i="7"/>
  <c r="B8" i="7"/>
  <c r="D8" i="7" s="1"/>
  <c r="E8" i="7" s="1"/>
  <c r="G7" i="7"/>
  <c r="H7" i="7" s="1"/>
  <c r="F7" i="7"/>
  <c r="B7" i="7" s="1"/>
  <c r="D7" i="7" s="1"/>
  <c r="E7" i="7" s="1"/>
  <c r="H6" i="7"/>
  <c r="G6" i="7"/>
  <c r="F6" i="7"/>
  <c r="B6" i="7"/>
  <c r="D6" i="7" s="1"/>
  <c r="E6" i="7" s="1"/>
  <c r="E56" i="6"/>
  <c r="D56" i="6"/>
  <c r="C56" i="6"/>
  <c r="B56" i="6"/>
  <c r="E55" i="6"/>
  <c r="D55" i="6"/>
  <c r="C55" i="6"/>
  <c r="B55" i="6"/>
  <c r="E54" i="6"/>
  <c r="D54" i="6"/>
  <c r="C54" i="6"/>
  <c r="B54" i="6"/>
  <c r="E52" i="6" a="1"/>
  <c r="E52" i="6" s="1"/>
  <c r="D52" i="6" a="1"/>
  <c r="D52" i="6"/>
  <c r="C52" i="6" a="1"/>
  <c r="C52" i="6"/>
  <c r="B52" i="6" a="1"/>
  <c r="B52" i="6" s="1"/>
  <c r="E51" i="6" a="1"/>
  <c r="E51" i="6"/>
  <c r="D51" i="6" a="1"/>
  <c r="D51" i="6" s="1"/>
  <c r="C51" i="6" a="1"/>
  <c r="C51" i="6" s="1"/>
  <c r="B51" i="6" a="1"/>
  <c r="B51" i="6" s="1"/>
  <c r="E50" i="6" a="1"/>
  <c r="E50" i="6"/>
  <c r="D50" i="6" a="1"/>
  <c r="D50" i="6"/>
  <c r="C50" i="6" a="1"/>
  <c r="C50" i="6"/>
  <c r="B50" i="6" a="1"/>
  <c r="B50" i="6" s="1"/>
  <c r="B45" i="6" a="1"/>
  <c r="B45" i="6" s="1"/>
  <c r="B19" i="5" s="1"/>
  <c r="B44" i="6" a="1"/>
  <c r="B44" i="6" s="1"/>
  <c r="B43" i="6" a="1"/>
  <c r="B43" i="6" s="1"/>
  <c r="B42" i="6" a="1"/>
  <c r="B42" i="6" s="1"/>
  <c r="B33" i="6" a="1"/>
  <c r="B33" i="6" s="1"/>
  <c r="B18" i="4" s="1" a="1"/>
  <c r="B18" i="4" s="1"/>
  <c r="B27" i="6" a="1"/>
  <c r="B27" i="6" s="1"/>
  <c r="B20" i="6" a="1"/>
  <c r="B20" i="6" s="1"/>
  <c r="B13" i="6" a="1"/>
  <c r="B13" i="6" s="1"/>
  <c r="B12" i="5" a="1"/>
  <c r="B12" i="5" s="1"/>
  <c r="B10" i="5" a="1"/>
  <c r="B10" i="5" s="1"/>
  <c r="B11" i="5" a="1"/>
  <c r="B11" i="5" s="1"/>
  <c r="B9" i="5" a="1"/>
  <c r="B9" i="5" s="1"/>
  <c r="B7" i="5" a="1"/>
  <c r="B7" i="5" s="1"/>
  <c r="B8" i="5" a="1"/>
  <c r="B8" i="5" s="1"/>
  <c r="B6" i="5" a="1"/>
  <c r="B6" i="5" s="1"/>
  <c r="B10" i="3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B7" i="4"/>
  <c r="B8" i="4"/>
  <c r="B9" i="4"/>
  <c r="B6" i="4"/>
  <c r="E8" i="2"/>
  <c r="B26" i="2"/>
  <c r="D25" i="2"/>
  <c r="B25" i="2"/>
  <c r="D22" i="2"/>
  <c r="D23" i="2"/>
  <c r="D24" i="2"/>
  <c r="D21" i="2"/>
  <c r="C22" i="2"/>
  <c r="C23" i="2"/>
  <c r="C24" i="2"/>
  <c r="C21" i="2"/>
  <c r="B22" i="2"/>
  <c r="B23" i="2"/>
  <c r="B24" i="2"/>
  <c r="B21" i="2"/>
  <c r="E6" i="2"/>
  <c r="I9" i="2"/>
  <c r="C6" i="2"/>
  <c r="D6" i="2"/>
  <c r="F6" i="2"/>
  <c r="G6" i="2"/>
  <c r="H6" i="2"/>
  <c r="I6" i="2"/>
  <c r="J6" i="2"/>
  <c r="K6" i="2"/>
  <c r="L6" i="2"/>
  <c r="M6" i="2"/>
  <c r="N6" i="2"/>
  <c r="O6" i="2"/>
  <c r="P6" i="2"/>
  <c r="Q6" i="2"/>
  <c r="R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C8" i="2"/>
  <c r="D8" i="2"/>
  <c r="F8" i="2"/>
  <c r="G8" i="2"/>
  <c r="H8" i="2"/>
  <c r="I8" i="2"/>
  <c r="J8" i="2"/>
  <c r="K8" i="2"/>
  <c r="L8" i="2"/>
  <c r="M8" i="2"/>
  <c r="N8" i="2"/>
  <c r="O8" i="2"/>
  <c r="P8" i="2"/>
  <c r="Q8" i="2"/>
  <c r="R8" i="2"/>
  <c r="C9" i="2"/>
  <c r="D9" i="2"/>
  <c r="E9" i="2"/>
  <c r="F9" i="2"/>
  <c r="G9" i="2"/>
  <c r="H9" i="2"/>
  <c r="J9" i="2"/>
  <c r="K9" i="2"/>
  <c r="L9" i="2"/>
  <c r="M9" i="2"/>
  <c r="N9" i="2"/>
  <c r="O9" i="2"/>
  <c r="P9" i="2"/>
  <c r="Q9" i="2"/>
  <c r="R9" i="2"/>
  <c r="B6" i="2"/>
  <c r="B7" i="2"/>
  <c r="B8" i="2"/>
  <c r="B9" i="2"/>
  <c r="T12" i="3"/>
  <c r="S12" i="3"/>
  <c r="R12" i="3"/>
  <c r="Q12" i="3"/>
  <c r="P12" i="3"/>
  <c r="L12" i="3"/>
  <c r="K12" i="3"/>
  <c r="J12" i="3"/>
  <c r="I12" i="3"/>
  <c r="H12" i="3"/>
  <c r="D12" i="3"/>
  <c r="C12" i="3"/>
  <c r="B12" i="3"/>
  <c r="V10" i="3"/>
  <c r="V12" i="3" s="1"/>
  <c r="U10" i="3"/>
  <c r="U12" i="3" s="1"/>
  <c r="T10" i="3"/>
  <c r="S10" i="3"/>
  <c r="R10" i="3"/>
  <c r="Q10" i="3"/>
  <c r="P10" i="3"/>
  <c r="O10" i="3"/>
  <c r="O12" i="3" s="1"/>
  <c r="N10" i="3"/>
  <c r="N12" i="3" s="1"/>
  <c r="M10" i="3"/>
  <c r="M12" i="3" s="1"/>
  <c r="L10" i="3"/>
  <c r="K10" i="3"/>
  <c r="J10" i="3"/>
  <c r="I10" i="3"/>
  <c r="H10" i="3"/>
  <c r="G10" i="3"/>
  <c r="G12" i="3" s="1"/>
  <c r="F10" i="3"/>
  <c r="F12" i="3" s="1"/>
  <c r="E10" i="3"/>
  <c r="E12" i="3" s="1"/>
  <c r="D10" i="3"/>
  <c r="C10" i="3"/>
  <c r="B17" i="7" l="1"/>
  <c r="B20" i="7"/>
  <c r="B31" i="7"/>
  <c r="C27" i="7"/>
  <c r="W54" i="8"/>
  <c r="D26" i="7"/>
  <c r="E26" i="7" s="1"/>
  <c r="F67" i="8"/>
  <c r="D10" i="7"/>
  <c r="E10" i="7" s="1"/>
  <c r="G10" i="7"/>
  <c r="H10" i="7" s="1"/>
  <c r="B18" i="7"/>
  <c r="B19" i="7"/>
  <c r="C19" i="5"/>
  <c r="C18" i="4" a="1"/>
  <c r="C18" i="4" s="1"/>
  <c r="D18" i="4" a="1"/>
  <c r="D18" i="4" s="1"/>
  <c r="D22" i="4" s="1"/>
  <c r="Y53" i="8" s="1"/>
  <c r="E18" i="4" a="1"/>
  <c r="D19" i="5"/>
  <c r="E19" i="5"/>
  <c r="C11" i="4"/>
  <c r="C13" i="4" s="1"/>
  <c r="N11" i="4"/>
  <c r="N13" i="4" s="1"/>
  <c r="K11" i="4"/>
  <c r="K13" i="4" s="1"/>
  <c r="P11" i="4"/>
  <c r="P13" i="4" s="1"/>
  <c r="H11" i="4"/>
  <c r="H13" i="4" s="1"/>
  <c r="O11" i="4"/>
  <c r="O13" i="4" s="1"/>
  <c r="G11" i="4"/>
  <c r="G13" i="4" s="1"/>
  <c r="B11" i="4"/>
  <c r="B13" i="4" s="1"/>
  <c r="M11" i="4"/>
  <c r="M13" i="4" s="1"/>
  <c r="E11" i="4"/>
  <c r="E13" i="4" s="1"/>
  <c r="L11" i="4"/>
  <c r="L13" i="4" s="1"/>
  <c r="D11" i="4"/>
  <c r="D13" i="4" s="1"/>
  <c r="F11" i="4"/>
  <c r="F13" i="4" s="1"/>
  <c r="J11" i="4"/>
  <c r="J13" i="4" s="1"/>
  <c r="R11" i="4"/>
  <c r="R13" i="4" s="1"/>
  <c r="Q11" i="4"/>
  <c r="Q13" i="4" s="1"/>
  <c r="I11" i="4"/>
  <c r="I13" i="4" s="1"/>
  <c r="B22" i="4"/>
  <c r="W53" i="8" s="1"/>
  <c r="B21" i="7" l="1"/>
  <c r="F71" i="8" s="1"/>
  <c r="E71" i="8" s="1"/>
  <c r="B32" i="7"/>
  <c r="B33" i="7" s="1"/>
  <c r="D27" i="7"/>
  <c r="E27" i="7" s="1"/>
  <c r="A18" i="1"/>
  <c r="A22" i="1"/>
  <c r="F68" i="8"/>
  <c r="D68" i="8" s="1"/>
  <c r="B67" i="8"/>
  <c r="C67" i="8"/>
  <c r="D67" i="8"/>
  <c r="E18" i="4"/>
  <c r="E22" i="4" s="1"/>
  <c r="Z53" i="8" s="1"/>
  <c r="C22" i="4"/>
  <c r="X53" i="8" s="1"/>
  <c r="B68" i="8" l="1"/>
  <c r="A19" i="1"/>
  <c r="F69" i="8"/>
  <c r="B69" i="8" s="1"/>
  <c r="C68" i="8"/>
  <c r="D69" i="8"/>
  <c r="B18" i="5" a="1"/>
  <c r="B18" i="5" s="1"/>
  <c r="B20" i="5" s="1" a="1"/>
  <c r="B20" i="5" s="1"/>
  <c r="F70" i="8" l="1"/>
  <c r="C70" i="8" s="1"/>
  <c r="C69" i="8"/>
  <c r="D70" i="8" l="1"/>
  <c r="B70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<sst xmlns="http://schemas.openxmlformats.org/spreadsheetml/2006/main" count="347" uniqueCount="188">
  <si>
    <t>Metric</t>
  </si>
  <si>
    <t>Revenue - UCAN</t>
  </si>
  <si>
    <t>Revenue - EMEA</t>
  </si>
  <si>
    <t>Revenue - LATAM</t>
  </si>
  <si>
    <t>Revenue - APAC</t>
  </si>
  <si>
    <t>Operating Income</t>
  </si>
  <si>
    <t>Net Income</t>
  </si>
  <si>
    <t>Q4'24</t>
  </si>
  <si>
    <t>Q1'25</t>
  </si>
  <si>
    <t>Q2'25</t>
  </si>
  <si>
    <t>Q3'25</t>
  </si>
  <si>
    <t>Q3'24</t>
  </si>
  <si>
    <t xml:space="preserve">All figures in $M unless noted. Blue = hardcoded from filings. Black = formulas. </t>
  </si>
  <si>
    <t>REGIONAL REVENUE</t>
  </si>
  <si>
    <t>NETFLIX HISTORICAL FINANCIALS</t>
  </si>
  <si>
    <t>Total Revenue (Calculated)</t>
  </si>
  <si>
    <t>Reported Total Revenue (per 8-K)</t>
  </si>
  <si>
    <t>Check (Calc - Reported, should be 0)</t>
  </si>
  <si>
    <t>P&amp;L SUMMARY</t>
  </si>
  <si>
    <t>Operating Margin %</t>
  </si>
  <si>
    <t>Source</t>
  </si>
  <si>
    <t>Diluted ESP (split-adjusted)</t>
  </si>
  <si>
    <t>NETFLIX FORECAST ASSUMPTIONS</t>
  </si>
  <si>
    <t>HISTORICAL GROWTH RATES (Y/Y %)</t>
  </si>
  <si>
    <t>Q4'25</t>
  </si>
  <si>
    <t>Q1'26</t>
  </si>
  <si>
    <t>UCAN</t>
  </si>
  <si>
    <t>EMEA</t>
  </si>
  <si>
    <t>LATAM</t>
  </si>
  <si>
    <t>APAC</t>
  </si>
  <si>
    <t>Q2'26</t>
  </si>
  <si>
    <t>Q3'26</t>
  </si>
  <si>
    <t>Q4'26</t>
  </si>
  <si>
    <t>Q1'27</t>
  </si>
  <si>
    <t>Rationale</t>
  </si>
  <si>
    <t>Q1'21</t>
  </si>
  <si>
    <t>Q2'21</t>
  </si>
  <si>
    <t>Q3'21</t>
  </si>
  <si>
    <t>Q4'21</t>
  </si>
  <si>
    <t>Q1'22</t>
  </si>
  <si>
    <t>Q2'22</t>
  </si>
  <si>
    <t>Q3'22</t>
  </si>
  <si>
    <t>Q4'22</t>
  </si>
  <si>
    <t>Q1'23</t>
  </si>
  <si>
    <t>Q2'23</t>
  </si>
  <si>
    <t>Q4'23</t>
  </si>
  <si>
    <t>Q3'23</t>
  </si>
  <si>
    <t>Note 1: Netflix executed a 10-for-1 stock split effective 11/14/2025. Diluted EPS for Q1'21-Q3'25 above is restated (divided by 10) to be comparable with Q4'25 onward. Note 2: Q1'26 Net Income ($5.28B) and EPS ($1.23) include a one-time $2.8B non-operating gain from a Warner Bros. Discovery merger termination fee - strip this out before using Q1'26 as a forecasting baseline. Note 3: the Check row is NOT exactly zero for Q1'21 through Q3'23 (off by $30-49M each quarter, shrinking over time) - this is real, not an error. The 'Regional Breakdown' table is labeled 'UCAN Streaming' and only covers streaming revenue; Netflix's legacy DVD-by-mail business (US-only, wound down through 2023) is included in the company-wide reported total but not in the four regional rows. The gap shrinks to exactly $0-1M by Q4'23/Q1'24, which lines up with Netflix officially closing the DVD business in September 2023 - a good example of a small, explainable tie-out gap versus an actual data error.</t>
  </si>
  <si>
    <t>Q1'24</t>
  </si>
  <si>
    <t>Q2'24</t>
  </si>
  <si>
    <t>Confirmed: Q1'21-Q1'22 from Q1'22 8-K; Q2'22-Q2'23 from Q2'23 8-K; Q2'23-Q2'24 from Q2'24 8-K; Q3'24-Q3'25 from Q3'25 8-K; Q4'25 from Q4'25 8-K; Q1'26 from Q1'26 8-K</t>
  </si>
  <si>
    <t>Confirmed from Netflix quarterly 8-K summary tables, Q1'21-Q1'26</t>
  </si>
  <si>
    <t>Confirmed from Netflix quarterly 8-K/10-Q; Q1'26 includes one-time $2.8B WBD termination fee (non-operating)</t>
  </si>
  <si>
    <t>Netflix 8-Ks; Q3'24-Q3'25 restated /10 for 10-for-1 split effective 11/14/2025</t>
  </si>
  <si>
    <t>Regional revenue growth model - Netflix does not disclose regional subscriber/ARPU splits, so growth is modeled off Y/Y % revenue growth by region, calculated from the Historical tab</t>
  </si>
  <si>
    <t>FORECAST GROWTH RATE ASSUMPTIONS (Y/Y %)</t>
  </si>
  <si>
    <t>Region</t>
  </si>
  <si>
    <t>Q1'26 actual was 13.6%. Assuming gradual deceleration toward 10% as ad-tier penetration matures, management has flagged ad-tier scaling as a maturing growth driver, not a  new one.</t>
  </si>
  <si>
    <t>Recent quarters (17-18% reported) run well ahead of FX-neutral growth (~12% per Q1'26 letter). Forecast holds reported-basis trend but tapers slightly, since the reported/FX-neutral gap is a currency effect, not durable growth.</t>
  </si>
  <si>
    <t>Clear acceleration Q3'25 (10.5%) to Q1'26 (18.6%). Keeping growth strong but tapering the rate of acceleration, since a jump this sharp in one quarter is often partly a one-time driver (pricing, content) rather than a new sustained pace.</t>
  </si>
  <si>
    <t>No clean trend Q1'22-Q1'26 (ranges from -1.6% to 25.9%); anchoring near the recent 4-quarter average (~19%) rather than extending a noisy pattern in either direction.</t>
  </si>
  <si>
    <t>GUIDANCE CHECK</t>
  </si>
  <si>
    <t>TOTAL</t>
  </si>
  <si>
    <t>2025 Actual Rev($M)</t>
  </si>
  <si>
    <t>Avg Fcst Growth</t>
  </si>
  <si>
    <t>Implied 2026 growth:</t>
  </si>
  <si>
    <t>Netflix guidance: 12-14% ($50.7-51.7B)</t>
  </si>
  <si>
    <t>Result: bottoms-up build implies ~ 13.6% total 2026 revenue growth ($51,314M), which falls inside Netflix's own stated 12-14% guidance range($50.7-51.7B).</t>
  </si>
  <si>
    <t>2026E Rev ($M)</t>
  </si>
  <si>
    <t>NETFLIX REVENUE BUILD</t>
  </si>
  <si>
    <t xml:space="preserve">Historical rebuild validates the growth-rate mechanic against actuals; forecast section extends the same formula into Q2'26-Q1'27 </t>
  </si>
  <si>
    <t xml:space="preserve">HISTORICAL REBUILD (TIE-OUT CHECK) </t>
  </si>
  <si>
    <t>UCAN (calculated)</t>
  </si>
  <si>
    <t>APAC (calculated)</t>
  </si>
  <si>
    <t>LATAM (calculated)</t>
  </si>
  <si>
    <t>EMEA (calculated)</t>
  </si>
  <si>
    <t>Total Revenue Build (calculated)</t>
  </si>
  <si>
    <t>Reported Total Revenue (per Historical tab)</t>
  </si>
  <si>
    <t>Check (Calc - Reported, should be ~0)</t>
  </si>
  <si>
    <t>FORECAST (Q2'26-Q1'27)</t>
  </si>
  <si>
    <t>Total Revenue Build (forecast)</t>
  </si>
  <si>
    <t>OPERATING MARGIN ASSUMPTION (forecast, company-wide)</t>
  </si>
  <si>
    <t>Trailing 4-quarter average (Q2'25-Q1'26) is ~29.8%. Adjusted for the seasonal pattern visible in 2024-2025 data: Q4 consistently runs lower (22.2% in Q4'24, 24.5% in Q4'25), Q1 consistently runs higher (31.7% in Q1'25, 32.3% in Q1'26).</t>
  </si>
  <si>
    <t>NETFLIX P&amp;L SUMMARY</t>
  </si>
  <si>
    <t>"Built at the operating-margin level rather than full expense line items, since Netflix's quarterly letters don't disclose a cost of revenue/marketing/tech-dev/G&amp;A breakdown — only the 10-Q/10-K full statements do, which weren't pulled for this build.</t>
  </si>
  <si>
    <t>HISTORICAL (Q1'21-Q1'26)</t>
  </si>
  <si>
    <t xml:space="preserve">Metric </t>
  </si>
  <si>
    <t xml:space="preserve">Total Revenue </t>
  </si>
  <si>
    <t xml:space="preserve">Total Operationg Expences </t>
  </si>
  <si>
    <t xml:space="preserve">Non-Operating Items &amp; Taxes, net </t>
  </si>
  <si>
    <t>Net Margin %</t>
  </si>
  <si>
    <t>Operating Margin Assumption</t>
  </si>
  <si>
    <t xml:space="preserve">Operating Income </t>
  </si>
  <si>
    <t xml:space="preserve">Net Income </t>
  </si>
  <si>
    <t>Net Income forecast omitted — Q1'26 alone shows a $2.8B one-time non-operating item; below-the-line items (taxes, interest, one-offs) are too unpredictable to forecast bottom-up reliably at this level of detail.</t>
  </si>
  <si>
    <t>Trailing 4Q avg ~29.8% (Q2'25-Q1'26), adjusted for seasonal pattern seen in 2024-2025 (Q4 lower, Q1 higher)</t>
  </si>
  <si>
    <r>
      <rPr>
        <b/>
        <sz val="11"/>
        <color theme="1"/>
        <rFont val="Aptos Narrow"/>
        <family val="2"/>
        <scheme val="minor"/>
      </rPr>
      <t>Region</t>
    </r>
    <r>
      <rPr>
        <sz val="11"/>
        <color theme="1"/>
        <rFont val="Aptos Narrow"/>
        <family val="2"/>
        <scheme val="minor"/>
      </rPr>
      <t xml:space="preserve"> </t>
    </r>
  </si>
  <si>
    <t>NETFLIX SCENARIO ANALYSIS</t>
  </si>
  <si>
    <t>Toggle switches P&amp;L forecast between Base/Bull/Bear by flexing regional growth rates and operating margin. Selected scenario feeds the P&amp;L tab.</t>
  </si>
  <si>
    <t>SELECTED SCENARIO:</t>
  </si>
  <si>
    <t>Base</t>
  </si>
  <si>
    <t>Margin flex (±pp):</t>
  </si>
  <si>
    <t>REGIONAL REVENUE GROWTH BY SCENARIO</t>
  </si>
  <si>
    <t>Base (reference: Assumptions tab)</t>
  </si>
  <si>
    <t>Bear (Base - growth flex)</t>
  </si>
  <si>
    <t>Bull</t>
  </si>
  <si>
    <t>Bear</t>
  </si>
  <si>
    <t>OPERATING MARGIN BY SCENARIO</t>
  </si>
  <si>
    <t>SELECTED</t>
  </si>
  <si>
    <t xml:space="preserve"> </t>
  </si>
  <si>
    <t>SELECTED GROWTH RATE (drives Revenue Build/P&amp;L)</t>
  </si>
  <si>
    <t>SCENARIO COMPARISON SUMMARY</t>
  </si>
  <si>
    <t xml:space="preserve">Metric / Scenario </t>
  </si>
  <si>
    <t>Total Revenue - Bull</t>
  </si>
  <si>
    <t>Total Revenue - Base</t>
  </si>
  <si>
    <t>Total Revenue - Bear</t>
  </si>
  <si>
    <t>Operating Income - Bull</t>
  </si>
  <si>
    <t>Operating Income - Base</t>
  </si>
  <si>
    <t>Operating Income - Bear</t>
  </si>
  <si>
    <t>By Q1'27, Total Revenue spans 13446.83 to 14181.77, a 734.94 spread around the 13814.3 Base case.</t>
  </si>
  <si>
    <t>NETFLIX VARIANCE ANALYSIS - Q2'26</t>
  </si>
  <si>
    <t>Compares the Base-case forecast (built Session 4-6) against Netflix's actual Q2'26 results, reported July 16 2026.</t>
  </si>
  <si>
    <t>Growth Gap (pp)</t>
  </si>
  <si>
    <t>REVENUE BRIDGE</t>
  </si>
  <si>
    <t>REVENUE VARIANCE BY REGION</t>
  </si>
  <si>
    <t>Forecast (Base)</t>
  </si>
  <si>
    <t>Actual</t>
  </si>
  <si>
    <t>Variance ($M)</t>
  </si>
  <si>
    <t>Variance (%)</t>
  </si>
  <si>
    <t>Assumed Growth % (YoY)</t>
  </si>
  <si>
    <t>Actual Growth % (YoY)</t>
  </si>
  <si>
    <t>Forecast (Base) = Q2'25 actual regional revenue × Base-case YoY growth from the Scenario tab; it stays on Base regardless of the scenario toggle. Growth Gap = actual YoY growth less assumed YoY growth, in percentage points.</t>
  </si>
  <si>
    <t>APAC variance</t>
  </si>
  <si>
    <t>LATAM variance</t>
  </si>
  <si>
    <t>UCAN variance</t>
  </si>
  <si>
    <t>Actual Total</t>
  </si>
  <si>
    <t>OPERATING MARGIN / INCOME VARIANCE</t>
  </si>
  <si>
    <t>Variance</t>
  </si>
  <si>
    <t>Total Revenue ($M)</t>
  </si>
  <si>
    <t>Operating Income ($M)</t>
  </si>
  <si>
    <t>OPERATING INCOME BRIDGE (Revenue effect vs. Margin effect)</t>
  </si>
  <si>
    <t>Revenue effect: (Actual Rev - Forecast Rev) x Forecast Margin</t>
  </si>
  <si>
    <t>Margin effect: (Actual Margin - Forecast Margin) x Actual Rev</t>
  </si>
  <si>
    <t>Total Operating Income Variance</t>
  </si>
  <si>
    <t>Actual Operating Income Variance (check)</t>
  </si>
  <si>
    <r>
      <t>Growth rate flex (</t>
    </r>
    <r>
      <rPr>
        <sz val="11"/>
        <color theme="1"/>
        <rFont val="Aptos Narrow"/>
        <family val="2"/>
        <scheme val="minor"/>
      </rPr>
      <t>±pp):</t>
    </r>
  </si>
  <si>
    <t>Scenario</t>
  </si>
  <si>
    <t>Bull (Base + growth flex)</t>
  </si>
  <si>
    <t xml:space="preserve">NETFLIX FP&amp;A DASHBOARD </t>
  </si>
  <si>
    <t>Q2'26 Actual</t>
  </si>
  <si>
    <t>Quarter</t>
  </si>
  <si>
    <t>Revenue</t>
  </si>
  <si>
    <t>CHART DATA (helper tables - feed the dashboard charts; not for reading directly)</t>
  </si>
  <si>
    <t>Bridge step</t>
  </si>
  <si>
    <t>Base (hidden)</t>
  </si>
  <si>
    <t>Increase</t>
  </si>
  <si>
    <t>Decrease</t>
  </si>
  <si>
    <t>Total</t>
  </si>
  <si>
    <t>Cumulative</t>
  </si>
  <si>
    <t>Chart 4 (Q2'26 Revenue Bridge) color key: green bars = favorable variance (actual beat forecast); red bars = unfavorable variance (actual missed forecast); blue bars = the Base Forecast Total and Actual Total endpoints. The "Base (hidden)" series is an invisible spacer that floats each bar; it is not a data point.</t>
  </si>
  <si>
    <t>A regional revenue forecast, scenario analysis, and variance review for Netflix, built from public SEC filings.</t>
  </si>
  <si>
    <t>CONTENTS</t>
  </si>
  <si>
    <t>Tab</t>
  </si>
  <si>
    <t>Color</t>
  </si>
  <si>
    <t>What it contains</t>
  </si>
  <si>
    <t>Historical</t>
  </si>
  <si>
    <t>Blue</t>
  </si>
  <si>
    <t>21 quarters of real, sourced financial data (Q1'21–Q1'26)</t>
  </si>
  <si>
    <t>Assumptions</t>
  </si>
  <si>
    <t>Forecast growth rates and margin assumptions, with rationale</t>
  </si>
  <si>
    <t>Revenue Build</t>
  </si>
  <si>
    <t>Green</t>
  </si>
  <si>
    <t>Formula-driven revenue forecast, tied out against actuals</t>
  </si>
  <si>
    <t>P&amp;L</t>
  </si>
  <si>
    <t>Full P&amp;L at the operating-margin level, historical + forecast</t>
  </si>
  <si>
    <t>Base/Bull/Bear toggle, feeds Revenue Build and P&amp;L</t>
  </si>
  <si>
    <t>Q2'26 forecast vs. actual, with a full bridge analysis</t>
  </si>
  <si>
    <t>Dashboard</t>
  </si>
  <si>
    <t>Orange</t>
  </si>
  <si>
    <t>Four charts summarizing the whole model at a glance</t>
  </si>
  <si>
    <t>Tab names link straight to each sheet. Color grouping: blue = source data and inputs; green = calculation engine; orange = output/reporting.</t>
  </si>
  <si>
    <t>HEADLINE RESULT — Q2'26 FORECAST VS. ACTUAL</t>
  </si>
  <si>
    <t>METHODOLOGY &amp; JUDGMENT CALLS</t>
  </si>
  <si>
    <t>Built from Netflix's 8-K shareholder letters and 10-Q/10-K filings. Revenue is modeled by regional growth rate, because Netflix no longer discloses regional subscriber or ARPU splits. The P&amp;L is built at the operating-margin level rather than full expense line items, for the same disclosure reason. Historical per-share data is adjusted for Netflix's November 2025 10-for-1 stock split, and the model flags a one-time $2.8B non-operating item in Q1'26 (the Warner Bros. Discovery merger termination fee) so it does not distort operating trends.</t>
  </si>
  <si>
    <t>Matthew Franklin — 8/7/2026 — Covers Q1'21 actuals through Q1'27 forecast</t>
  </si>
  <si>
    <t>Base Forecast Total</t>
  </si>
  <si>
    <t>EMEA variance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</si>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</sst>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\$#,##0;&quot;($&quot;#,##0\);\-"/>
    <numFmt numFmtId="166" formatCode="\$#,##0.00"/>
    <numFmt numFmtId="167" formatCode="\$#,##0"/>
    <numFmt numFmtId="168" formatCode="&quot;$&quot;#,##0;\(&quot;$&quot;#,##0\);\-"/>
    <numFmt numFmtId="169" formatCode="0.0%;\(0.0%\);\-"/>
    <numFmt numFmtId="170" formatCode="0.0&quot;pp&quot;;\(0.0&quot;pp&quot;\);\-"/>
  </numFmts>
  <fonts count="3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9"/>
      <color rgb="FF80808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i/>
      <sz val="10"/>
      <color rgb="FF808080"/>
      <name val="Arial"/>
      <family val="2"/>
    </font>
    <font>
      <b/>
      <sz val="14"/>
      <color rgb="FF000000"/>
      <name val="Arial"/>
      <family val="2"/>
    </font>
    <font>
      <sz val="10"/>
      <color rgb="FFFFFFFF"/>
      <name val="Arial"/>
      <family val="2"/>
    </font>
    <font>
      <i/>
      <sz val="11"/>
      <color theme="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i/>
      <sz val="9"/>
      <color rgb="FF808080"/>
      <name val="Arial"/>
      <family val="2"/>
    </font>
    <font>
      <u/>
      <sz val="11"/>
      <color theme="10"/>
      <name val="Aptos Narrow"/>
      <family val="2"/>
      <scheme val="minor"/>
    </font>
    <font>
      <i/>
      <sz val="9"/>
      <color rgb="FF80808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rgb="FFD9E1F2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9F2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5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122">
    <xf numFmtId="0" fontId="0" fillId="0" borderId="0" xfId="0"/>
    <xf numFmtId="42" fontId="0" fillId="0" borderId="0" xfId="0" applyNumberFormat="1"/>
    <xf numFmtId="42" fontId="0" fillId="3" borderId="0" xfId="0" applyNumberFormat="1" applyFill="1"/>
    <xf numFmtId="165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0" fontId="5" fillId="5" borderId="0" xfId="0" applyFont="1" applyFill="1" applyAlignment="1">
      <alignment horizontal="center"/>
    </xf>
    <xf numFmtId="0" fontId="5" fillId="5" borderId="0" xfId="0" applyFont="1" applyFill="1"/>
    <xf numFmtId="0" fontId="3" fillId="0" borderId="0" xfId="0" applyFont="1"/>
    <xf numFmtId="165" fontId="6" fillId="0" borderId="1" xfId="0" applyNumberFormat="1" applyFont="1" applyBorder="1"/>
    <xf numFmtId="165" fontId="7" fillId="4" borderId="1" xfId="0" applyNumberFormat="1" applyFont="1" applyFill="1" applyBorder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164" fontId="12" fillId="0" borderId="0" xfId="2" applyNumberFormat="1" applyFont="1"/>
    <xf numFmtId="165" fontId="14" fillId="0" borderId="1" xfId="0" applyNumberFormat="1" applyFont="1" applyBorder="1" applyAlignment="1">
      <alignment horizontal="right"/>
    </xf>
    <xf numFmtId="0" fontId="12" fillId="3" borderId="0" xfId="0" applyFont="1" applyFill="1"/>
    <xf numFmtId="0" fontId="13" fillId="3" borderId="0" xfId="0" applyFont="1" applyFill="1"/>
    <xf numFmtId="42" fontId="10" fillId="0" borderId="0" xfId="0" applyNumberFormat="1" applyFont="1"/>
    <xf numFmtId="42" fontId="12" fillId="0" borderId="0" xfId="0" applyNumberFormat="1" applyFont="1"/>
    <xf numFmtId="42" fontId="5" fillId="2" borderId="0" xfId="0" applyNumberFormat="1" applyFont="1" applyFill="1"/>
    <xf numFmtId="42" fontId="13" fillId="3" borderId="0" xfId="0" applyNumberFormat="1" applyFont="1" applyFill="1"/>
    <xf numFmtId="0" fontId="12" fillId="6" borderId="0" xfId="0" applyFont="1" applyFill="1"/>
    <xf numFmtId="42" fontId="13" fillId="0" borderId="0" xfId="0" applyNumberFormat="1" applyFont="1"/>
    <xf numFmtId="42" fontId="12" fillId="3" borderId="0" xfId="0" applyNumberFormat="1" applyFont="1" applyFill="1"/>
    <xf numFmtId="0" fontId="16" fillId="0" borderId="0" xfId="0" applyFont="1"/>
    <xf numFmtId="42" fontId="3" fillId="0" borderId="0" xfId="0" applyNumberFormat="1" applyFont="1"/>
    <xf numFmtId="0" fontId="3" fillId="0" borderId="0" xfId="0" applyFont="1" applyAlignment="1">
      <alignment vertical="top" wrapText="1"/>
    </xf>
    <xf numFmtId="0" fontId="17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 wrapText="1"/>
    </xf>
    <xf numFmtId="0" fontId="5" fillId="0" borderId="0" xfId="0" applyFont="1"/>
    <xf numFmtId="0" fontId="12" fillId="7" borderId="0" xfId="0" applyFont="1" applyFill="1"/>
    <xf numFmtId="0" fontId="10" fillId="7" borderId="0" xfId="0" applyFont="1" applyFill="1"/>
    <xf numFmtId="0" fontId="13" fillId="8" borderId="0" xfId="0" applyFont="1" applyFill="1"/>
    <xf numFmtId="0" fontId="12" fillId="8" borderId="0" xfId="0" applyFont="1" applyFill="1"/>
    <xf numFmtId="0" fontId="10" fillId="8" borderId="0" xfId="0" applyFont="1" applyFill="1"/>
    <xf numFmtId="0" fontId="5" fillId="5" borderId="1" xfId="0" applyFont="1" applyFill="1" applyBorder="1" applyAlignment="1">
      <alignment horizontal="center"/>
    </xf>
    <xf numFmtId="164" fontId="12" fillId="0" borderId="1" xfId="0" applyNumberFormat="1" applyFont="1" applyBorder="1"/>
    <xf numFmtId="0" fontId="5" fillId="2" borderId="1" xfId="0" applyFont="1" applyFill="1" applyBorder="1"/>
    <xf numFmtId="164" fontId="5" fillId="2" borderId="1" xfId="0" applyNumberFormat="1" applyFont="1" applyFill="1" applyBorder="1"/>
    <xf numFmtId="0" fontId="12" fillId="0" borderId="1" xfId="0" applyFont="1" applyBorder="1"/>
    <xf numFmtId="9" fontId="4" fillId="0" borderId="1" xfId="2" applyFont="1" applyBorder="1"/>
    <xf numFmtId="0" fontId="5" fillId="2" borderId="1" xfId="0" applyFont="1" applyFill="1" applyBorder="1" applyAlignment="1">
      <alignment horizontal="center" wrapText="1"/>
    </xf>
    <xf numFmtId="167" fontId="7" fillId="0" borderId="1" xfId="1" applyNumberFormat="1" applyFont="1" applyBorder="1"/>
    <xf numFmtId="164" fontId="12" fillId="0" borderId="1" xfId="1" applyNumberFormat="1" applyFont="1" applyBorder="1"/>
    <xf numFmtId="167" fontId="13" fillId="0" borderId="1" xfId="1" applyNumberFormat="1" applyFont="1" applyBorder="1"/>
    <xf numFmtId="167" fontId="13" fillId="0" borderId="1" xfId="0" applyNumberFormat="1" applyFont="1" applyBorder="1"/>
    <xf numFmtId="0" fontId="13" fillId="0" borderId="1" xfId="0" applyFont="1" applyBorder="1"/>
    <xf numFmtId="9" fontId="11" fillId="0" borderId="1" xfId="2" applyFont="1" applyBorder="1"/>
    <xf numFmtId="0" fontId="6" fillId="3" borderId="0" xfId="0" applyFont="1" applyFill="1"/>
    <xf numFmtId="0" fontId="13" fillId="7" borderId="0" xfId="0" applyFont="1" applyFill="1"/>
    <xf numFmtId="167" fontId="12" fillId="0" borderId="0" xfId="0" applyNumberFormat="1" applyFont="1"/>
    <xf numFmtId="167" fontId="12" fillId="0" borderId="1" xfId="0" applyNumberFormat="1" applyFont="1" applyBorder="1"/>
    <xf numFmtId="165" fontId="13" fillId="8" borderId="1" xfId="0" applyNumberFormat="1" applyFont="1" applyFill="1" applyBorder="1"/>
    <xf numFmtId="0" fontId="3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center"/>
    </xf>
    <xf numFmtId="165" fontId="13" fillId="0" borderId="1" xfId="0" applyNumberFormat="1" applyFont="1" applyBorder="1"/>
    <xf numFmtId="165" fontId="12" fillId="0" borderId="1" xfId="0" applyNumberFormat="1" applyFont="1" applyBorder="1"/>
    <xf numFmtId="164" fontId="4" fillId="0" borderId="1" xfId="1" applyNumberFormat="1" applyFont="1" applyBorder="1"/>
    <xf numFmtId="164" fontId="4" fillId="0" borderId="1" xfId="0" applyNumberFormat="1" applyFont="1" applyBorder="1"/>
    <xf numFmtId="0" fontId="18" fillId="0" borderId="0" xfId="0" applyFont="1"/>
    <xf numFmtId="168" fontId="7" fillId="0" borderId="1" xfId="0" applyNumberFormat="1" applyFont="1" applyBorder="1"/>
    <xf numFmtId="0" fontId="7" fillId="0" borderId="0" xfId="0" applyFont="1"/>
    <xf numFmtId="169" fontId="6" fillId="0" borderId="1" xfId="0" applyNumberFormat="1" applyFont="1" applyBorder="1"/>
    <xf numFmtId="170" fontId="7" fillId="0" borderId="1" xfId="0" applyNumberFormat="1" applyFont="1" applyBorder="1"/>
    <xf numFmtId="170" fontId="6" fillId="0" borderId="1" xfId="0" applyNumberFormat="1" applyFont="1" applyBorder="1"/>
    <xf numFmtId="168" fontId="7" fillId="0" borderId="0" xfId="0" applyNumberFormat="1" applyFont="1"/>
    <xf numFmtId="169" fontId="7" fillId="0" borderId="1" xfId="0" applyNumberFormat="1" applyFont="1" applyBorder="1"/>
    <xf numFmtId="0" fontId="7" fillId="0" borderId="1" xfId="0" applyFont="1" applyBorder="1"/>
    <xf numFmtId="168" fontId="4" fillId="0" borderId="1" xfId="0" applyNumberFormat="1" applyFont="1" applyBorder="1"/>
    <xf numFmtId="0" fontId="6" fillId="0" borderId="1" xfId="0" applyFont="1" applyBorder="1"/>
    <xf numFmtId="168" fontId="6" fillId="0" borderId="1" xfId="0" applyNumberFormat="1" applyFont="1" applyBorder="1"/>
    <xf numFmtId="0" fontId="7" fillId="0" borderId="1" xfId="0" quotePrefix="1" applyFont="1" applyBorder="1"/>
    <xf numFmtId="169" fontId="7" fillId="0" borderId="1" xfId="2" applyNumberFormat="1" applyFont="1" applyBorder="1"/>
    <xf numFmtId="168" fontId="19" fillId="0" borderId="1" xfId="0" applyNumberFormat="1" applyFont="1" applyBorder="1"/>
    <xf numFmtId="0" fontId="6" fillId="8" borderId="1" xfId="0" applyFont="1" applyFill="1" applyBorder="1"/>
    <xf numFmtId="168" fontId="6" fillId="8" borderId="1" xfId="0" applyNumberFormat="1" applyFont="1" applyFill="1" applyBorder="1"/>
    <xf numFmtId="0" fontId="6" fillId="7" borderId="0" xfId="0" applyFont="1" applyFill="1"/>
    <xf numFmtId="164" fontId="5" fillId="2" borderId="1" xfId="0" applyNumberFormat="1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169" fontId="4" fillId="0" borderId="1" xfId="0" applyNumberFormat="1" applyFont="1" applyBorder="1"/>
    <xf numFmtId="0" fontId="5" fillId="2" borderId="1" xfId="0" applyFont="1" applyFill="1" applyBorder="1" applyAlignment="1">
      <alignment horizontal="left"/>
    </xf>
    <xf numFmtId="0" fontId="6" fillId="7" borderId="1" xfId="0" applyFont="1" applyFill="1" applyBorder="1"/>
    <xf numFmtId="168" fontId="7" fillId="0" borderId="1" xfId="3" applyNumberFormat="1" applyFont="1" applyBorder="1"/>
    <xf numFmtId="168" fontId="6" fillId="0" borderId="1" xfId="3" applyNumberFormat="1" applyFont="1" applyBorder="1"/>
    <xf numFmtId="0" fontId="21" fillId="0" borderId="0" xfId="0" applyFont="1"/>
    <xf numFmtId="0" fontId="23" fillId="0" borderId="0" xfId="0" applyFont="1"/>
    <xf numFmtId="0" fontId="24" fillId="0" borderId="0" xfId="0" applyFont="1"/>
    <xf numFmtId="0" fontId="20" fillId="2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left"/>
    </xf>
    <xf numFmtId="0" fontId="22" fillId="0" borderId="1" xfId="0" applyFont="1" applyBorder="1"/>
    <xf numFmtId="168" fontId="21" fillId="0" borderId="1" xfId="0" applyNumberFormat="1" applyFont="1" applyBorder="1"/>
    <xf numFmtId="168" fontId="21" fillId="8" borderId="1" xfId="0" applyNumberFormat="1" applyFont="1" applyFill="1" applyBorder="1"/>
    <xf numFmtId="0" fontId="21" fillId="0" borderId="1" xfId="0" applyFont="1" applyBorder="1"/>
    <xf numFmtId="169" fontId="21" fillId="0" borderId="1" xfId="0" applyNumberFormat="1" applyFont="1" applyBorder="1"/>
    <xf numFmtId="0" fontId="26" fillId="0" borderId="0" xfId="0" applyFont="1"/>
    <xf numFmtId="0" fontId="26" fillId="0" borderId="0" xfId="0" applyFont="1" applyAlignment="1">
      <alignment horizontal="left"/>
    </xf>
    <xf numFmtId="0" fontId="27" fillId="0" borderId="0" xfId="0" applyFont="1"/>
    <xf numFmtId="0" fontId="28" fillId="0" borderId="0" xfId="0" applyFont="1"/>
    <xf numFmtId="0" fontId="29" fillId="3" borderId="0" xfId="0" applyFont="1" applyFill="1"/>
    <xf numFmtId="0" fontId="30" fillId="2" borderId="1" xfId="0" applyFont="1" applyFill="1" applyBorder="1"/>
    <xf numFmtId="0" fontId="28" fillId="3" borderId="1" xfId="0" applyFont="1" applyFill="1" applyBorder="1" applyAlignment="1">
      <alignment horizontal="center"/>
    </xf>
    <xf numFmtId="0" fontId="28" fillId="0" borderId="1" xfId="0" applyFont="1" applyBorder="1"/>
    <xf numFmtId="0" fontId="28" fillId="8" borderId="1" xfId="0" applyFont="1" applyFill="1" applyBorder="1" applyAlignment="1">
      <alignment horizontal="center"/>
    </xf>
    <xf numFmtId="0" fontId="28" fillId="7" borderId="1" xfId="0" applyFont="1" applyFill="1" applyBorder="1" applyAlignment="1">
      <alignment horizontal="center"/>
    </xf>
    <xf numFmtId="0" fontId="29" fillId="0" borderId="1" xfId="4" applyFont="1" applyBorder="1"/>
    <xf numFmtId="0" fontId="28" fillId="9" borderId="0" xfId="0" applyFont="1" applyFill="1"/>
    <xf numFmtId="0" fontId="0" fillId="9" borderId="0" xfId="0" applyFill="1"/>
    <xf numFmtId="0" fontId="28" fillId="0" borderId="0" xfId="0" applyFont="1" applyAlignment="1">
      <alignment horizontal="left" vertical="top" wrapText="1"/>
    </xf>
    <xf numFmtId="0" fontId="28" fillId="0" borderId="0" xfId="0" applyFont="1"/>
    <xf numFmtId="0" fontId="29" fillId="9" borderId="0" xfId="0" applyFont="1" applyFill="1" applyAlignment="1">
      <alignment vertical="center" wrapText="1"/>
    </xf>
    <xf numFmtId="0" fontId="29" fillId="9" borderId="0" xfId="0" applyFont="1" applyFill="1"/>
    <xf numFmtId="49" fontId="3" fillId="0" borderId="0" xfId="0" quotePrefix="1" applyNumberFormat="1" applyFont="1" applyAlignment="1">
      <alignment vertical="top" wrapText="1"/>
    </xf>
    <xf numFmtId="49" fontId="15" fillId="0" borderId="0" xfId="0" applyNumberFormat="1" applyFont="1" applyAlignment="1">
      <alignment vertical="top" wrapText="1"/>
    </xf>
    <xf numFmtId="49" fontId="15" fillId="0" borderId="0" xfId="0" quotePrefix="1" applyNumberFormat="1" applyFont="1" applyAlignment="1">
      <alignment vertical="top" wrapText="1"/>
    </xf>
    <xf numFmtId="0" fontId="12" fillId="0" borderId="1" xfId="0" applyFont="1" applyFill="1" applyBorder="1"/>
    <xf numFmtId="168" fontId="7" fillId="0" borderId="4" xfId="0" applyNumberFormat="1" applyFont="1" applyBorder="1"/>
    <xf numFmtId="168" fontId="7" fillId="0" borderId="5" xfId="0" applyNumberFormat="1" applyFont="1" applyBorder="1"/>
    <xf numFmtId="0" fontId="5" fillId="2" borderId="2" xfId="0" applyFont="1" applyFill="1" applyBorder="1" applyAlignment="1">
      <alignment horizontal="center" wrapText="1"/>
    </xf>
    <xf numFmtId="168" fontId="6" fillId="0" borderId="3" xfId="0" applyNumberFormat="1" applyFont="1" applyBorder="1"/>
  </cellXfs>
  <cellStyles count="5">
    <cellStyle name="Comma" xfId="1" builtinId="3"/>
    <cellStyle name="Currency" xfId="3" builtinId="4"/>
    <cellStyle name="Hyperlink" xfId="4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CE4D6"/>
      <color rgb="FFFFCC99"/>
      <color rgb="FF0000FF"/>
      <color rgb="FFD9E1F2"/>
      <color rgb="FF1F4E78"/>
      <color rgb="FFFFFFFF"/>
      <color rgb="FFEAEAEA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Netflix Total Revenue: Actual vs. Forecast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Dashboard!$A$53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1F4E78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21"/>
            <c:marker>
              <c:symbol val="none"/>
            </c:marker>
            <c:bubble3D val="0"/>
            <c:spPr>
              <a:ln w="28575" cap="rnd">
                <a:solidFill>
                  <a:srgbClr val="1F4E78"/>
                </a:solidFill>
                <a:prstDash val="lg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DA5-476A-B020-2C0B6430DA70}"/>
              </c:ext>
            </c:extLst>
          </c:dPt>
          <c:dPt>
            <c:idx val="22"/>
            <c:marker>
              <c:symbol val="none"/>
            </c:marker>
            <c:bubble3D val="0"/>
            <c:spPr>
              <a:ln w="28575" cap="rnd">
                <a:solidFill>
                  <a:srgbClr val="1F4E78"/>
                </a:solidFill>
                <a:prstDash val="lg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DA5-476A-B020-2C0B6430DA70}"/>
              </c:ext>
            </c:extLst>
          </c:dPt>
          <c:dPt>
            <c:idx val="23"/>
            <c:marker>
              <c:symbol val="none"/>
            </c:marker>
            <c:bubble3D val="0"/>
            <c:spPr>
              <a:ln w="28575" cap="rnd">
                <a:solidFill>
                  <a:srgbClr val="1F4E78"/>
                </a:solidFill>
                <a:prstDash val="lg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2DA5-476A-B020-2C0B6430DA70}"/>
              </c:ext>
            </c:extLst>
          </c:dPt>
          <c:dPt>
            <c:idx val="24"/>
            <c:marker>
              <c:symbol val="none"/>
            </c:marker>
            <c:bubble3D val="0"/>
            <c:spPr>
              <a:ln w="28575" cap="rnd">
                <a:solidFill>
                  <a:srgbClr val="1F4E78"/>
                </a:solidFill>
                <a:prstDash val="lg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DA5-476A-B020-2C0B6430DA70}"/>
              </c:ext>
            </c:extLst>
          </c:dPt>
          <c:cat>
            <c:strRef>
              <c:f>Dashboard!$B$52:$Z$52</c:f>
              <c:strCache>
                <c:ptCount val="25"/>
                <c:pt idx="0">
                  <c:v>Q1'21</c:v>
                </c:pt>
                <c:pt idx="1">
                  <c:v>Q2'21</c:v>
                </c:pt>
                <c:pt idx="2">
                  <c:v>Q3'21</c:v>
                </c:pt>
                <c:pt idx="3">
                  <c:v>Q4'21</c:v>
                </c:pt>
                <c:pt idx="4">
                  <c:v>Q1'22</c:v>
                </c:pt>
                <c:pt idx="5">
                  <c:v>Q2'22</c:v>
                </c:pt>
                <c:pt idx="6">
                  <c:v>Q3'22</c:v>
                </c:pt>
                <c:pt idx="7">
                  <c:v>Q4'22</c:v>
                </c:pt>
                <c:pt idx="8">
                  <c:v>Q1'23</c:v>
                </c:pt>
                <c:pt idx="9">
                  <c:v>Q2'23</c:v>
                </c:pt>
                <c:pt idx="10">
                  <c:v>Q3'23</c:v>
                </c:pt>
                <c:pt idx="11">
                  <c:v>Q4'23</c:v>
                </c:pt>
                <c:pt idx="12">
                  <c:v>Q1'24</c:v>
                </c:pt>
                <c:pt idx="13">
                  <c:v>Q2'24</c:v>
                </c:pt>
                <c:pt idx="14">
                  <c:v>Q3'24</c:v>
                </c:pt>
                <c:pt idx="15">
                  <c:v>Q4'24</c:v>
                </c:pt>
                <c:pt idx="16">
                  <c:v>Q1'25</c:v>
                </c:pt>
                <c:pt idx="17">
                  <c:v>Q2'25</c:v>
                </c:pt>
                <c:pt idx="18">
                  <c:v>Q3'25</c:v>
                </c:pt>
                <c:pt idx="19">
                  <c:v>Q4'25</c:v>
                </c:pt>
                <c:pt idx="20">
                  <c:v>Q1'26</c:v>
                </c:pt>
                <c:pt idx="21">
                  <c:v>Q2'26</c:v>
                </c:pt>
                <c:pt idx="22">
                  <c:v>Q3'26</c:v>
                </c:pt>
                <c:pt idx="23">
                  <c:v>Q4'26</c:v>
                </c:pt>
                <c:pt idx="24">
                  <c:v>Q1'27</c:v>
                </c:pt>
              </c:strCache>
            </c:strRef>
          </c:cat>
          <c:val>
            <c:numRef>
              <c:f>Dashboard!$B$53:$Z$53</c:f>
              <c:numCache>
                <c:formatCode>"$"#,##0;\("$"#,##0\);\-</c:formatCode>
                <c:ptCount val="25"/>
                <c:pt idx="0">
                  <c:v>7163</c:v>
                </c:pt>
                <c:pt idx="1">
                  <c:v>7342</c:v>
                </c:pt>
                <c:pt idx="2">
                  <c:v>7483</c:v>
                </c:pt>
                <c:pt idx="3">
                  <c:v>7709</c:v>
                </c:pt>
                <c:pt idx="4">
                  <c:v>7868</c:v>
                </c:pt>
                <c:pt idx="5">
                  <c:v>7970</c:v>
                </c:pt>
                <c:pt idx="6">
                  <c:v>7926</c:v>
                </c:pt>
                <c:pt idx="7">
                  <c:v>7852</c:v>
                </c:pt>
                <c:pt idx="8">
                  <c:v>8162</c:v>
                </c:pt>
                <c:pt idx="9">
                  <c:v>8187</c:v>
                </c:pt>
                <c:pt idx="10">
                  <c:v>8542</c:v>
                </c:pt>
                <c:pt idx="11">
                  <c:v>8833</c:v>
                </c:pt>
                <c:pt idx="12">
                  <c:v>9370</c:v>
                </c:pt>
                <c:pt idx="13">
                  <c:v>9559</c:v>
                </c:pt>
                <c:pt idx="14">
                  <c:v>9825</c:v>
                </c:pt>
                <c:pt idx="15">
                  <c:v>10247</c:v>
                </c:pt>
                <c:pt idx="16">
                  <c:v>10543</c:v>
                </c:pt>
                <c:pt idx="17">
                  <c:v>11079</c:v>
                </c:pt>
                <c:pt idx="18">
                  <c:v>11510</c:v>
                </c:pt>
                <c:pt idx="19">
                  <c:v>12051</c:v>
                </c:pt>
                <c:pt idx="20">
                  <c:v>12249</c:v>
                </c:pt>
                <c:pt idx="21">
                  <c:v>12706.7</c:v>
                </c:pt>
                <c:pt idx="22">
                  <c:v>13089.550000000001</c:v>
                </c:pt>
                <c:pt idx="23">
                  <c:v>13634.33</c:v>
                </c:pt>
                <c:pt idx="24">
                  <c:v>13814.300000000001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A5-476A-B020-2C0B6430DA70}"/>
            </c:ext>
          </c:extLst>
        </c:ser>
        <c:ser>
          <c:idx val="1"/>
          <c:order val="1"/>
          <c:tx>
            <c:strRef>
              <c:f>Dashboard!$A$54</c:f>
              <c:strCache>
                <c:ptCount val="1"/>
                <c:pt idx="0">
                  <c:v>Q2'26 Actual</c:v>
                </c:pt>
              </c:strCache>
            </c:strRef>
          </c:tx>
          <c:spPr>
            <a:ln w="28575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circle"/>
            <c:size val="9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C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Dashboard!$B$52:$Z$52</c:f>
              <c:strCache>
                <c:ptCount val="25"/>
                <c:pt idx="0">
                  <c:v>Q1'21</c:v>
                </c:pt>
                <c:pt idx="1">
                  <c:v>Q2'21</c:v>
                </c:pt>
                <c:pt idx="2">
                  <c:v>Q3'21</c:v>
                </c:pt>
                <c:pt idx="3">
                  <c:v>Q4'21</c:v>
                </c:pt>
                <c:pt idx="4">
                  <c:v>Q1'22</c:v>
                </c:pt>
                <c:pt idx="5">
                  <c:v>Q2'22</c:v>
                </c:pt>
                <c:pt idx="6">
                  <c:v>Q3'22</c:v>
                </c:pt>
                <c:pt idx="7">
                  <c:v>Q4'22</c:v>
                </c:pt>
                <c:pt idx="8">
                  <c:v>Q1'23</c:v>
                </c:pt>
                <c:pt idx="9">
                  <c:v>Q2'23</c:v>
                </c:pt>
                <c:pt idx="10">
                  <c:v>Q3'23</c:v>
                </c:pt>
                <c:pt idx="11">
                  <c:v>Q4'23</c:v>
                </c:pt>
                <c:pt idx="12">
                  <c:v>Q1'24</c:v>
                </c:pt>
                <c:pt idx="13">
                  <c:v>Q2'24</c:v>
                </c:pt>
                <c:pt idx="14">
                  <c:v>Q3'24</c:v>
                </c:pt>
                <c:pt idx="15">
                  <c:v>Q4'24</c:v>
                </c:pt>
                <c:pt idx="16">
                  <c:v>Q1'25</c:v>
                </c:pt>
                <c:pt idx="17">
                  <c:v>Q2'25</c:v>
                </c:pt>
                <c:pt idx="18">
                  <c:v>Q3'25</c:v>
                </c:pt>
                <c:pt idx="19">
                  <c:v>Q4'25</c:v>
                </c:pt>
                <c:pt idx="20">
                  <c:v>Q1'26</c:v>
                </c:pt>
                <c:pt idx="21">
                  <c:v>Q2'26</c:v>
                </c:pt>
                <c:pt idx="22">
                  <c:v>Q3'26</c:v>
                </c:pt>
                <c:pt idx="23">
                  <c:v>Q4'26</c:v>
                </c:pt>
                <c:pt idx="24">
                  <c:v>Q1'27</c:v>
                </c:pt>
              </c:strCache>
            </c:strRef>
          </c:cat>
          <c:val>
            <c:numRef>
              <c:f>Dashboard!$B$54:$Z$54</c:f>
              <c:numCache>
                <c:formatCode>"$"#,##0;\("$"#,##0\);\-</c:formatCode>
                <c:ptCount val="25"/>
                <c:pt idx="21">
                  <c:v>12560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A5-476A-B020-2C0B6430D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7012400"/>
        <c:axId val="1808713424"/>
      </c:lineChart>
      <c:catAx>
        <c:axId val="166701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8713424"/>
        <c:crosses val="autoZero"/>
        <c:auto val="1"/>
        <c:lblAlgn val="ctr"/>
        <c:lblOffset val="100"/>
        <c:noMultiLvlLbl val="0"/>
      </c:catAx>
      <c:valAx>
        <c:axId val="180871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\(&quot;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701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Regional Revenue Mix, Q1'21-Q1'26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Dashboard!$A$57</c:f>
              <c:strCache>
                <c:ptCount val="1"/>
                <c:pt idx="0">
                  <c:v>UCAN</c:v>
                </c:pt>
              </c:strCache>
            </c:strRef>
          </c:tx>
          <c:spPr>
            <a:solidFill>
              <a:srgbClr val="1F4E78"/>
            </a:solidFill>
            <a:ln>
              <a:noFill/>
            </a:ln>
            <a:effectLst/>
          </c:spPr>
          <c:cat>
            <c:strRef>
              <c:f>Dashboard!$B$56:$V$56</c:f>
              <c:strCache>
                <c:ptCount val="21"/>
                <c:pt idx="0">
                  <c:v>Q1'21</c:v>
                </c:pt>
                <c:pt idx="1">
                  <c:v>Q2'21</c:v>
                </c:pt>
                <c:pt idx="2">
                  <c:v>Q3'21</c:v>
                </c:pt>
                <c:pt idx="3">
                  <c:v>Q4'21</c:v>
                </c:pt>
                <c:pt idx="4">
                  <c:v>Q1'22</c:v>
                </c:pt>
                <c:pt idx="5">
                  <c:v>Q2'22</c:v>
                </c:pt>
                <c:pt idx="6">
                  <c:v>Q3'22</c:v>
                </c:pt>
                <c:pt idx="7">
                  <c:v>Q4'22</c:v>
                </c:pt>
                <c:pt idx="8">
                  <c:v>Q1'23</c:v>
                </c:pt>
                <c:pt idx="9">
                  <c:v>Q2'23</c:v>
                </c:pt>
                <c:pt idx="10">
                  <c:v>Q3'23</c:v>
                </c:pt>
                <c:pt idx="11">
                  <c:v>Q4'23</c:v>
                </c:pt>
                <c:pt idx="12">
                  <c:v>Q1'24</c:v>
                </c:pt>
                <c:pt idx="13">
                  <c:v>Q2'24</c:v>
                </c:pt>
                <c:pt idx="14">
                  <c:v>Q3'24</c:v>
                </c:pt>
                <c:pt idx="15">
                  <c:v>Q4'24</c:v>
                </c:pt>
                <c:pt idx="16">
                  <c:v>Q1'25</c:v>
                </c:pt>
                <c:pt idx="17">
                  <c:v>Q2'25</c:v>
                </c:pt>
                <c:pt idx="18">
                  <c:v>Q3'25</c:v>
                </c:pt>
                <c:pt idx="19">
                  <c:v>Q4'25</c:v>
                </c:pt>
                <c:pt idx="20">
                  <c:v>Q1'26</c:v>
                </c:pt>
              </c:strCache>
            </c:strRef>
          </c:cat>
          <c:val>
            <c:numRef>
              <c:f>Dashboard!$B$57:$V$57</c:f>
              <c:numCache>
                <c:formatCode>"$"#,##0;\("$"#,##0\);\-</c:formatCode>
                <c:ptCount val="21"/>
                <c:pt idx="0">
                  <c:v>3171</c:v>
                </c:pt>
                <c:pt idx="1">
                  <c:v>3235</c:v>
                </c:pt>
                <c:pt idx="2">
                  <c:v>3258</c:v>
                </c:pt>
                <c:pt idx="3">
                  <c:v>3309</c:v>
                </c:pt>
                <c:pt idx="4">
                  <c:v>3350</c:v>
                </c:pt>
                <c:pt idx="5">
                  <c:v>3538</c:v>
                </c:pt>
                <c:pt idx="6">
                  <c:v>3602</c:v>
                </c:pt>
                <c:pt idx="7">
                  <c:v>3595</c:v>
                </c:pt>
                <c:pt idx="8">
                  <c:v>3609</c:v>
                </c:pt>
                <c:pt idx="9">
                  <c:v>3599</c:v>
                </c:pt>
                <c:pt idx="10">
                  <c:v>3735</c:v>
                </c:pt>
                <c:pt idx="11">
                  <c:v>3931</c:v>
                </c:pt>
                <c:pt idx="12">
                  <c:v>4224</c:v>
                </c:pt>
                <c:pt idx="13">
                  <c:v>4296</c:v>
                </c:pt>
                <c:pt idx="14">
                  <c:v>4322</c:v>
                </c:pt>
                <c:pt idx="15">
                  <c:v>4517</c:v>
                </c:pt>
                <c:pt idx="16">
                  <c:v>4617</c:v>
                </c:pt>
                <c:pt idx="17">
                  <c:v>4929</c:v>
                </c:pt>
                <c:pt idx="18">
                  <c:v>5072</c:v>
                </c:pt>
                <c:pt idx="19">
                  <c:v>5339</c:v>
                </c:pt>
                <c:pt idx="20">
                  <c:v>5245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2-4F98-8455-DC3B8E34C245}"/>
            </c:ext>
          </c:extLst>
        </c:ser>
        <c:ser>
          <c:idx val="1"/>
          <c:order val="1"/>
          <c:tx>
            <c:strRef>
              <c:f>Dashboard!$A$58</c:f>
              <c:strCache>
                <c:ptCount val="1"/>
                <c:pt idx="0">
                  <c:v>EMEA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cat>
            <c:strRef>
              <c:f>Dashboard!$B$56:$V$56</c:f>
              <c:strCache>
                <c:ptCount val="21"/>
                <c:pt idx="0">
                  <c:v>Q1'21</c:v>
                </c:pt>
                <c:pt idx="1">
                  <c:v>Q2'21</c:v>
                </c:pt>
                <c:pt idx="2">
                  <c:v>Q3'21</c:v>
                </c:pt>
                <c:pt idx="3">
                  <c:v>Q4'21</c:v>
                </c:pt>
                <c:pt idx="4">
                  <c:v>Q1'22</c:v>
                </c:pt>
                <c:pt idx="5">
                  <c:v>Q2'22</c:v>
                </c:pt>
                <c:pt idx="6">
                  <c:v>Q3'22</c:v>
                </c:pt>
                <c:pt idx="7">
                  <c:v>Q4'22</c:v>
                </c:pt>
                <c:pt idx="8">
                  <c:v>Q1'23</c:v>
                </c:pt>
                <c:pt idx="9">
                  <c:v>Q2'23</c:v>
                </c:pt>
                <c:pt idx="10">
                  <c:v>Q3'23</c:v>
                </c:pt>
                <c:pt idx="11">
                  <c:v>Q4'23</c:v>
                </c:pt>
                <c:pt idx="12">
                  <c:v>Q1'24</c:v>
                </c:pt>
                <c:pt idx="13">
                  <c:v>Q2'24</c:v>
                </c:pt>
                <c:pt idx="14">
                  <c:v>Q3'24</c:v>
                </c:pt>
                <c:pt idx="15">
                  <c:v>Q4'24</c:v>
                </c:pt>
                <c:pt idx="16">
                  <c:v>Q1'25</c:v>
                </c:pt>
                <c:pt idx="17">
                  <c:v>Q2'25</c:v>
                </c:pt>
                <c:pt idx="18">
                  <c:v>Q3'25</c:v>
                </c:pt>
                <c:pt idx="19">
                  <c:v>Q4'25</c:v>
                </c:pt>
                <c:pt idx="20">
                  <c:v>Q1'26</c:v>
                </c:pt>
              </c:strCache>
            </c:strRef>
          </c:cat>
          <c:val>
            <c:numRef>
              <c:f>Dashboard!$B$58:$V$58</c:f>
              <c:numCache>
                <c:formatCode>"$"#,##0;\("$"#,##0\);\-</c:formatCode>
                <c:ptCount val="21"/>
                <c:pt idx="0">
                  <c:v>2344</c:v>
                </c:pt>
                <c:pt idx="1">
                  <c:v>2400</c:v>
                </c:pt>
                <c:pt idx="2">
                  <c:v>2432</c:v>
                </c:pt>
                <c:pt idx="3">
                  <c:v>2523</c:v>
                </c:pt>
                <c:pt idx="4">
                  <c:v>2562</c:v>
                </c:pt>
                <c:pt idx="5">
                  <c:v>2457</c:v>
                </c:pt>
                <c:pt idx="6">
                  <c:v>2376</c:v>
                </c:pt>
                <c:pt idx="7">
                  <c:v>2350</c:v>
                </c:pt>
                <c:pt idx="8">
                  <c:v>2518</c:v>
                </c:pt>
                <c:pt idx="9">
                  <c:v>2562</c:v>
                </c:pt>
                <c:pt idx="10">
                  <c:v>2693</c:v>
                </c:pt>
                <c:pt idx="11">
                  <c:v>2784</c:v>
                </c:pt>
                <c:pt idx="12">
                  <c:v>2958</c:v>
                </c:pt>
                <c:pt idx="13">
                  <c:v>3008</c:v>
                </c:pt>
                <c:pt idx="14">
                  <c:v>3133</c:v>
                </c:pt>
                <c:pt idx="15">
                  <c:v>3288</c:v>
                </c:pt>
                <c:pt idx="16">
                  <c:v>3405</c:v>
                </c:pt>
                <c:pt idx="17">
                  <c:v>3538</c:v>
                </c:pt>
                <c:pt idx="18">
                  <c:v>3699</c:v>
                </c:pt>
                <c:pt idx="19">
                  <c:v>3873</c:v>
                </c:pt>
                <c:pt idx="20">
                  <c:v>3998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A2-4F98-8455-DC3B8E34C245}"/>
            </c:ext>
          </c:extLst>
        </c:ser>
        <c:ser>
          <c:idx val="2"/>
          <c:order val="2"/>
          <c:tx>
            <c:strRef>
              <c:f>Dashboard!$A$59</c:f>
              <c:strCache>
                <c:ptCount val="1"/>
                <c:pt idx="0">
                  <c:v>LATAM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</c:spPr>
          <c:cat>
            <c:strRef>
              <c:f>Dashboard!$B$56:$V$56</c:f>
              <c:strCache>
                <c:ptCount val="21"/>
                <c:pt idx="0">
                  <c:v>Q1'21</c:v>
                </c:pt>
                <c:pt idx="1">
                  <c:v>Q2'21</c:v>
                </c:pt>
                <c:pt idx="2">
                  <c:v>Q3'21</c:v>
                </c:pt>
                <c:pt idx="3">
                  <c:v>Q4'21</c:v>
                </c:pt>
                <c:pt idx="4">
                  <c:v>Q1'22</c:v>
                </c:pt>
                <c:pt idx="5">
                  <c:v>Q2'22</c:v>
                </c:pt>
                <c:pt idx="6">
                  <c:v>Q3'22</c:v>
                </c:pt>
                <c:pt idx="7">
                  <c:v>Q4'22</c:v>
                </c:pt>
                <c:pt idx="8">
                  <c:v>Q1'23</c:v>
                </c:pt>
                <c:pt idx="9">
                  <c:v>Q2'23</c:v>
                </c:pt>
                <c:pt idx="10">
                  <c:v>Q3'23</c:v>
                </c:pt>
                <c:pt idx="11">
                  <c:v>Q4'23</c:v>
                </c:pt>
                <c:pt idx="12">
                  <c:v>Q1'24</c:v>
                </c:pt>
                <c:pt idx="13">
                  <c:v>Q2'24</c:v>
                </c:pt>
                <c:pt idx="14">
                  <c:v>Q3'24</c:v>
                </c:pt>
                <c:pt idx="15">
                  <c:v>Q4'24</c:v>
                </c:pt>
                <c:pt idx="16">
                  <c:v>Q1'25</c:v>
                </c:pt>
                <c:pt idx="17">
                  <c:v>Q2'25</c:v>
                </c:pt>
                <c:pt idx="18">
                  <c:v>Q3'25</c:v>
                </c:pt>
                <c:pt idx="19">
                  <c:v>Q4'25</c:v>
                </c:pt>
                <c:pt idx="20">
                  <c:v>Q1'26</c:v>
                </c:pt>
              </c:strCache>
            </c:strRef>
          </c:cat>
          <c:val>
            <c:numRef>
              <c:f>Dashboard!$B$59:$V$59</c:f>
              <c:numCache>
                <c:formatCode>"$"#,##0;\("$"#,##0\);\-</c:formatCode>
                <c:ptCount val="21"/>
                <c:pt idx="0">
                  <c:v>837</c:v>
                </c:pt>
                <c:pt idx="1">
                  <c:v>861</c:v>
                </c:pt>
                <c:pt idx="2">
                  <c:v>915</c:v>
                </c:pt>
                <c:pt idx="3">
                  <c:v>964</c:v>
                </c:pt>
                <c:pt idx="4">
                  <c:v>999</c:v>
                </c:pt>
                <c:pt idx="5">
                  <c:v>1030</c:v>
                </c:pt>
                <c:pt idx="6">
                  <c:v>1024</c:v>
                </c:pt>
                <c:pt idx="7">
                  <c:v>1017</c:v>
                </c:pt>
                <c:pt idx="8">
                  <c:v>1070</c:v>
                </c:pt>
                <c:pt idx="9">
                  <c:v>1077</c:v>
                </c:pt>
                <c:pt idx="10">
                  <c:v>1143</c:v>
                </c:pt>
                <c:pt idx="11">
                  <c:v>1156</c:v>
                </c:pt>
                <c:pt idx="12">
                  <c:v>1165</c:v>
                </c:pt>
                <c:pt idx="13">
                  <c:v>1204</c:v>
                </c:pt>
                <c:pt idx="14">
                  <c:v>1241</c:v>
                </c:pt>
                <c:pt idx="15">
                  <c:v>1230</c:v>
                </c:pt>
                <c:pt idx="16">
                  <c:v>1262</c:v>
                </c:pt>
                <c:pt idx="17">
                  <c:v>1307</c:v>
                </c:pt>
                <c:pt idx="18">
                  <c:v>1371</c:v>
                </c:pt>
                <c:pt idx="19">
                  <c:v>1418</c:v>
                </c:pt>
                <c:pt idx="20">
                  <c:v>1497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A2-4F98-8455-DC3B8E34C245}"/>
            </c:ext>
          </c:extLst>
        </c:ser>
        <c:ser>
          <c:idx val="3"/>
          <c:order val="3"/>
          <c:tx>
            <c:strRef>
              <c:f>Dashboard!$A$60</c:f>
              <c:strCache>
                <c:ptCount val="1"/>
                <c:pt idx="0">
                  <c:v>APAC</c:v>
                </c:pt>
              </c:strCache>
            </c:strRef>
          </c:tx>
          <c:spPr>
            <a:solidFill>
              <a:srgbClr val="BDD7EE"/>
            </a:solidFill>
            <a:ln>
              <a:noFill/>
            </a:ln>
            <a:effectLst/>
          </c:spPr>
          <c:cat>
            <c:strRef>
              <c:f>Dashboard!$B$56:$V$56</c:f>
              <c:strCache>
                <c:ptCount val="21"/>
                <c:pt idx="0">
                  <c:v>Q1'21</c:v>
                </c:pt>
                <c:pt idx="1">
                  <c:v>Q2'21</c:v>
                </c:pt>
                <c:pt idx="2">
                  <c:v>Q3'21</c:v>
                </c:pt>
                <c:pt idx="3">
                  <c:v>Q4'21</c:v>
                </c:pt>
                <c:pt idx="4">
                  <c:v>Q1'22</c:v>
                </c:pt>
                <c:pt idx="5">
                  <c:v>Q2'22</c:v>
                </c:pt>
                <c:pt idx="6">
                  <c:v>Q3'22</c:v>
                </c:pt>
                <c:pt idx="7">
                  <c:v>Q4'22</c:v>
                </c:pt>
                <c:pt idx="8">
                  <c:v>Q1'23</c:v>
                </c:pt>
                <c:pt idx="9">
                  <c:v>Q2'23</c:v>
                </c:pt>
                <c:pt idx="10">
                  <c:v>Q3'23</c:v>
                </c:pt>
                <c:pt idx="11">
                  <c:v>Q4'23</c:v>
                </c:pt>
                <c:pt idx="12">
                  <c:v>Q1'24</c:v>
                </c:pt>
                <c:pt idx="13">
                  <c:v>Q2'24</c:v>
                </c:pt>
                <c:pt idx="14">
                  <c:v>Q3'24</c:v>
                </c:pt>
                <c:pt idx="15">
                  <c:v>Q4'24</c:v>
                </c:pt>
                <c:pt idx="16">
                  <c:v>Q1'25</c:v>
                </c:pt>
                <c:pt idx="17">
                  <c:v>Q2'25</c:v>
                </c:pt>
                <c:pt idx="18">
                  <c:v>Q3'25</c:v>
                </c:pt>
                <c:pt idx="19">
                  <c:v>Q4'25</c:v>
                </c:pt>
                <c:pt idx="20">
                  <c:v>Q1'26</c:v>
                </c:pt>
              </c:strCache>
            </c:strRef>
          </c:cat>
          <c:val>
            <c:numRef>
              <c:f>Dashboard!$B$60:$V$60</c:f>
              <c:numCache>
                <c:formatCode>"$"#,##0;\("$"#,##0\);\-</c:formatCode>
                <c:ptCount val="21"/>
                <c:pt idx="0">
                  <c:v>762</c:v>
                </c:pt>
                <c:pt idx="1">
                  <c:v>799</c:v>
                </c:pt>
                <c:pt idx="2">
                  <c:v>834</c:v>
                </c:pt>
                <c:pt idx="3">
                  <c:v>871</c:v>
                </c:pt>
                <c:pt idx="4">
                  <c:v>917</c:v>
                </c:pt>
                <c:pt idx="5">
                  <c:v>908</c:v>
                </c:pt>
                <c:pt idx="6">
                  <c:v>889</c:v>
                </c:pt>
                <c:pt idx="7">
                  <c:v>857</c:v>
                </c:pt>
                <c:pt idx="8">
                  <c:v>934</c:v>
                </c:pt>
                <c:pt idx="9">
                  <c:v>919</c:v>
                </c:pt>
                <c:pt idx="10">
                  <c:v>948</c:v>
                </c:pt>
                <c:pt idx="11">
                  <c:v>963</c:v>
                </c:pt>
                <c:pt idx="12">
                  <c:v>1023</c:v>
                </c:pt>
                <c:pt idx="13">
                  <c:v>1052</c:v>
                </c:pt>
                <c:pt idx="14">
                  <c:v>1128</c:v>
                </c:pt>
                <c:pt idx="15">
                  <c:v>1212</c:v>
                </c:pt>
                <c:pt idx="16">
                  <c:v>1259</c:v>
                </c:pt>
                <c:pt idx="17">
                  <c:v>1305</c:v>
                </c:pt>
                <c:pt idx="18">
                  <c:v>1369</c:v>
                </c:pt>
                <c:pt idx="19">
                  <c:v>1421</c:v>
                </c:pt>
                <c:pt idx="20">
                  <c:v>1509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A2-4F98-8455-DC3B8E34C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7089424"/>
        <c:axId val="1808735504"/>
      </c:areaChart>
      <c:catAx>
        <c:axId val="166708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8735504"/>
        <c:crosses val="autoZero"/>
        <c:auto val="1"/>
        <c:lblAlgn val="ctr"/>
        <c:lblOffset val="100"/>
        <c:noMultiLvlLbl val="0"/>
      </c:catAx>
      <c:valAx>
        <c:axId val="18087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\(&quot;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7089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Operating Margin %, Q1'21-Q1'26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Dashboard!$A$63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cat>
            <c:strRef>
              <c:f>Dashboard!$B$62:$V$62</c:f>
              <c:strCache>
                <c:ptCount val="21"/>
                <c:pt idx="0">
                  <c:v>Q1'21</c:v>
                </c:pt>
                <c:pt idx="1">
                  <c:v>Q2'21</c:v>
                </c:pt>
                <c:pt idx="2">
                  <c:v>Q3'21</c:v>
                </c:pt>
                <c:pt idx="3">
                  <c:v>Q4'21</c:v>
                </c:pt>
                <c:pt idx="4">
                  <c:v>Q1'22</c:v>
                </c:pt>
                <c:pt idx="5">
                  <c:v>Q2'22</c:v>
                </c:pt>
                <c:pt idx="6">
                  <c:v>Q3'22</c:v>
                </c:pt>
                <c:pt idx="7">
                  <c:v>Q4'22</c:v>
                </c:pt>
                <c:pt idx="8">
                  <c:v>Q1'23</c:v>
                </c:pt>
                <c:pt idx="9">
                  <c:v>Q2'23</c:v>
                </c:pt>
                <c:pt idx="10">
                  <c:v>Q3'23</c:v>
                </c:pt>
                <c:pt idx="11">
                  <c:v>Q4'23</c:v>
                </c:pt>
                <c:pt idx="12">
                  <c:v>Q1'24</c:v>
                </c:pt>
                <c:pt idx="13">
                  <c:v>Q2'24</c:v>
                </c:pt>
                <c:pt idx="14">
                  <c:v>Q3'24</c:v>
                </c:pt>
                <c:pt idx="15">
                  <c:v>Q4'24</c:v>
                </c:pt>
                <c:pt idx="16">
                  <c:v>Q1'25</c:v>
                </c:pt>
                <c:pt idx="17">
                  <c:v>Q2'25</c:v>
                </c:pt>
                <c:pt idx="18">
                  <c:v>Q3'25</c:v>
                </c:pt>
                <c:pt idx="19">
                  <c:v>Q4'25</c:v>
                </c:pt>
                <c:pt idx="20">
                  <c:v>Q1'26</c:v>
                </c:pt>
              </c:strCache>
            </c:strRef>
          </c:cat>
          <c:val>
            <c:numRef>
              <c:f>Dashboard!$B$63:$V$63</c:f>
              <c:numCache>
                <c:formatCode>0.0%;\(0.0%\);\-</c:formatCode>
                <c:ptCount val="21"/>
                <c:pt idx="0">
                  <c:v>0.27400000000000002</c:v>
                </c:pt>
                <c:pt idx="1">
                  <c:v>0.252</c:v>
                </c:pt>
                <c:pt idx="2">
                  <c:v>0.23499999999999999</c:v>
                </c:pt>
                <c:pt idx="3">
                  <c:v>8.2000000000000003E-2</c:v>
                </c:pt>
                <c:pt idx="4">
                  <c:v>0.251</c:v>
                </c:pt>
                <c:pt idx="5">
                  <c:v>0.19800000000000001</c:v>
                </c:pt>
                <c:pt idx="6">
                  <c:v>0.193</c:v>
                </c:pt>
                <c:pt idx="7">
                  <c:v>7.0000000000000007E-2</c:v>
                </c:pt>
                <c:pt idx="8">
                  <c:v>0.21</c:v>
                </c:pt>
                <c:pt idx="9">
                  <c:v>0.223</c:v>
                </c:pt>
                <c:pt idx="10">
                  <c:v>0.224</c:v>
                </c:pt>
                <c:pt idx="11">
                  <c:v>0.16900000000000001</c:v>
                </c:pt>
                <c:pt idx="12">
                  <c:v>0.28100000000000003</c:v>
                </c:pt>
                <c:pt idx="13">
                  <c:v>0.27200000000000002</c:v>
                </c:pt>
                <c:pt idx="14">
                  <c:v>0.29599999999999999</c:v>
                </c:pt>
                <c:pt idx="15">
                  <c:v>0.222</c:v>
                </c:pt>
                <c:pt idx="16">
                  <c:v>0.317</c:v>
                </c:pt>
                <c:pt idx="17">
                  <c:v>0.34100000000000003</c:v>
                </c:pt>
                <c:pt idx="18">
                  <c:v>0.28199999999999997</c:v>
                </c:pt>
                <c:pt idx="19">
                  <c:v>0.245</c:v>
                </c:pt>
                <c:pt idx="20">
                  <c:v>0.32300000000000001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DB-4AAD-8C78-58BE8AD0C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407600"/>
        <c:axId val="1808709584"/>
      </c:lineChart>
      <c:catAx>
        <c:axId val="167040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08709584"/>
        <c:crosses val="autoZero"/>
        <c:auto val="1"/>
        <c:lblAlgn val="ctr"/>
        <c:lblOffset val="100"/>
        <c:noMultiLvlLbl val="0"/>
      </c:catAx>
      <c:valAx>
        <c:axId val="180870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;\(0.0%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7040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Q2'26 Revenue Bridge: Forecast to Actual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Dashboard!$B$65</c:f>
              <c:strCache>
                <c:ptCount val="1"/>
                <c:pt idx="0">
                  <c:v>Base (hidden)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Dashboard!$A$66:$A$71</c:f>
              <c:strCache>
                <c:ptCount val="6"/>
                <c:pt idx="0">
                  <c:v>Base Forecast Total</c:v>
                </c:pt>
                <c:pt idx="1">
                  <c:v>UCAN variance</c:v>
                </c:pt>
                <c:pt idx="2">
                  <c:v>EMEA variance</c:v>
                </c:pt>
                <c:pt idx="3">
                  <c:v>LATAM variance</c:v>
                </c:pt>
                <c:pt idx="4">
                  <c:v>APAC variance</c:v>
                </c:pt>
                <c:pt idx="5">
                  <c:v>Actual Total</c:v>
                </c:pt>
              </c:strCache>
            </c:strRef>
          </c:cat>
          <c:val>
            <c:numRef>
              <c:f>Dashboard!$B$66:$B$71</c:f>
              <c:numCache>
                <c:formatCode>"$"#,##0;\("$"#,##0\);\-</c:formatCode>
                <c:ptCount val="6"/>
                <c:pt idx="0">
                  <c:v>0</c:v>
                </c:pt>
                <c:pt idx="1">
                  <c:v>12618.220000000001</c:v>
                </c:pt>
                <c:pt idx="2">
                  <c:v>12548.140000000001</c:v>
                </c:pt>
                <c:pt idx="3">
                  <c:v>12548.140000000001</c:v>
                </c:pt>
                <c:pt idx="4">
                  <c:v>12560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B-474C-8CA1-8AB33F5FA158}"/>
            </c:ext>
          </c:extLst>
        </c:ser>
        <c:ser>
          <c:idx val="1"/>
          <c:order val="1"/>
          <c:tx>
            <c:strRef>
              <c:f>Dashboard!$C$65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Dashboard!$A$66:$A$71</c:f>
              <c:strCache>
                <c:ptCount val="6"/>
                <c:pt idx="0">
                  <c:v>Base Forecast Total</c:v>
                </c:pt>
                <c:pt idx="1">
                  <c:v>UCAN variance</c:v>
                </c:pt>
                <c:pt idx="2">
                  <c:v>EMEA variance</c:v>
                </c:pt>
                <c:pt idx="3">
                  <c:v>LATAM variance</c:v>
                </c:pt>
                <c:pt idx="4">
                  <c:v>APAC variance</c:v>
                </c:pt>
                <c:pt idx="5">
                  <c:v>Actual Total</c:v>
                </c:pt>
              </c:strCache>
            </c:strRef>
          </c:cat>
          <c:val>
            <c:numRef>
              <c:f>Dashboard!$C$66:$C$71</c:f>
              <c:numCache>
                <c:formatCode>"$"#,##0;\("$"#,##0\);\-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54.809999999999491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EB-474C-8CA1-8AB33F5FA158}"/>
            </c:ext>
          </c:extLst>
        </c:ser>
        <c:ser>
          <c:idx val="2"/>
          <c:order val="2"/>
          <c:tx>
            <c:strRef>
              <c:f>Dashboard!$D$65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Dashboard!$A$66:$A$71</c:f>
              <c:strCache>
                <c:ptCount val="6"/>
                <c:pt idx="0">
                  <c:v>Base Forecast Total</c:v>
                </c:pt>
                <c:pt idx="1">
                  <c:v>UCAN variance</c:v>
                </c:pt>
                <c:pt idx="2">
                  <c:v>EMEA variance</c:v>
                </c:pt>
                <c:pt idx="3">
                  <c:v>LATAM variance</c:v>
                </c:pt>
                <c:pt idx="4">
                  <c:v>APAC variance</c:v>
                </c:pt>
                <c:pt idx="5">
                  <c:v>Actual Total</c:v>
                </c:pt>
              </c:strCache>
            </c:strRef>
          </c:cat>
          <c:val>
            <c:numRef>
              <c:f>Dashboard!$D$66:$D$71</c:f>
              <c:numCache>
                <c:formatCode>"$"#,##0;\("$"#,##0\);\-</c:formatCode>
                <c:ptCount val="6"/>
                <c:pt idx="0">
                  <c:v>0</c:v>
                </c:pt>
                <c:pt idx="1">
                  <c:v>88.479999999999563</c:v>
                </c:pt>
                <c:pt idx="2">
                  <c:v>70.079999999999927</c:v>
                </c:pt>
                <c:pt idx="3">
                  <c:v>0</c:v>
                </c:pt>
                <c:pt idx="4">
                  <c:v>42.950000000000728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EB-474C-8CA1-8AB33F5FA158}"/>
            </c:ext>
          </c:extLst>
        </c:ser>
        <c:ser>
          <c:idx val="3"/>
          <c:order val="3"/>
          <c:tx>
            <c:strRef>
              <c:f>Dashboard!$E$65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4E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Dashboard!$A$66:$A$71</c:f>
              <c:strCache>
                <c:ptCount val="6"/>
                <c:pt idx="0">
                  <c:v>Base Forecast Total</c:v>
                </c:pt>
                <c:pt idx="1">
                  <c:v>UCAN variance</c:v>
                </c:pt>
                <c:pt idx="2">
                  <c:v>EMEA variance</c:v>
                </c:pt>
                <c:pt idx="3">
                  <c:v>LATAM variance</c:v>
                </c:pt>
                <c:pt idx="4">
                  <c:v>APAC variance</c:v>
                </c:pt>
                <c:pt idx="5">
                  <c:v>Actual Total</c:v>
                </c:pt>
              </c:strCache>
            </c:strRef>
          </c:cat>
          <c:val>
            <c:numRef>
              <c:f>Dashboard!$E$66:$E$71</c:f>
              <c:numCache>
                <c:formatCode>"$"#,##0;\("$"#,##0\);\-</c:formatCode>
                <c:ptCount val="6"/>
                <c:pt idx="0">
                  <c:v>12706.7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EB-474C-8CA1-8AB33F5FA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7164672"/>
        <c:axId val="1021844400"/>
      </c:barChart>
      <c:catAx>
        <c:axId val="166716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1844400"/>
        <c:crosses val="autoZero"/>
        <c:auto val="1"/>
        <c:lblAlgn val="ctr"/>
        <c:lblOffset val="100"/>
        <c:noMultiLvlLbl val="0"/>
      </c:catAx>
      <c:valAx>
        <c:axId val="1021844400"/>
        <c:scaling>
          <c:orientation val="minMax"/>
          <c:min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\(&quot;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716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12</xdr:col>
      <xdr:colOff>193675</xdr:colOff>
      <xdr:row>25</xdr:row>
      <xdr:rowOff>63500</xdr:rowOff>
    </xdr:to>
    <xdr:graphicFrame macro="">
      <xdr:nvGraphicFramePr>
        <xdr:cNvPr id="5" name="RevenueTrend">
          <a:extLst>
            <a:ext uri="{FF2B5EF4-FFF2-40B4-BE49-F238E27FC236}">
              <a16:creationId xmlns:a16="http://schemas.microsoft.com/office/drawing/2014/main" id="{732B5E63-1B0D-52D9-D41C-EA174B7D9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320675</xdr:colOff>
      <xdr:row>2</xdr:row>
      <xdr:rowOff>0</xdr:rowOff>
    </xdr:from>
    <xdr:to>
      <xdr:col>26</xdr:col>
      <xdr:colOff>47625</xdr:colOff>
      <xdr:row>25</xdr:row>
      <xdr:rowOff>63500</xdr:rowOff>
    </xdr:to>
    <xdr:graphicFrame macro="">
      <xdr:nvGraphicFramePr>
        <xdr:cNvPr id="6" name="RegionalMix">
          <a:extLst>
            <a:ext uri="{FF2B5EF4-FFF2-40B4-BE49-F238E27FC236}">
              <a16:creationId xmlns:a16="http://schemas.microsoft.com/office/drawing/2014/main" id="{55EFF27F-E756-309C-AA53-5F58DCD15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12</xdr:col>
      <xdr:colOff>193675</xdr:colOff>
      <xdr:row>49</xdr:row>
      <xdr:rowOff>63500</xdr:rowOff>
    </xdr:to>
    <xdr:graphicFrame macro="">
      <xdr:nvGraphicFramePr>
        <xdr:cNvPr id="7" name="MarginTrend">
          <a:extLst>
            <a:ext uri="{FF2B5EF4-FFF2-40B4-BE49-F238E27FC236}">
              <a16:creationId xmlns:a16="http://schemas.microsoft.com/office/drawing/2014/main" id="{8A99649A-66D8-336E-98E2-51F18B84E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320675</xdr:colOff>
      <xdr:row>26</xdr:row>
      <xdr:rowOff>0</xdr:rowOff>
    </xdr:from>
    <xdr:to>
      <xdr:col>26</xdr:col>
      <xdr:colOff>47625</xdr:colOff>
      <xdr:row>49</xdr:row>
      <xdr:rowOff>63500</xdr:rowOff>
    </xdr:to>
    <xdr:graphicFrame macro="">
      <xdr:nvGraphicFramePr>
        <xdr:cNvPr id="9" name="RevenueBridge">
          <a:extLst>
            <a:ext uri="{FF2B5EF4-FFF2-40B4-BE49-F238E27FC236}">
              <a16:creationId xmlns:a16="http://schemas.microsoft.com/office/drawing/2014/main" id="{02202B33-7B94-FEB9-8FBA-4269A640D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99881EF-9B50-4B52-8FB6-133FB75E1A0B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d904d651-cd56-4cb6-9e31-706c6226e7f1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1230-C75C-468F-AB53-E28077BE6D4E}">
  <sheetPr>
    <tabColor rgb="FFFFC000"/>
  </sheetPr>
  <dimension ref="A1:C28"/>
  <sheetViews>
    <sheetView workbookViewId="0">
      <selection activeCell="B19" sqref="B19"/>
    </sheetView>
  </sheetViews>
  <sheetFormatPr defaultRowHeight="14.5" x14ac:dyDescent="0.35"/>
  <cols>
    <col min="1" max="1" width="21" customWidth="1"/>
    <col min="2" max="2" width="11.453125" customWidth="1"/>
    <col min="3" max="3" width="80" customWidth="1"/>
  </cols>
  <sheetData>
    <row r="1" spans="1:3" ht="18" x14ac:dyDescent="0.4">
      <c r="A1" s="99" t="s">
        <v>187</v>
      </c>
    </row>
    <row r="2" spans="1:3" x14ac:dyDescent="0.35">
      <c r="A2" s="100" t="s">
        <v>160</v>
      </c>
    </row>
    <row r="3" spans="1:3" x14ac:dyDescent="0.35">
      <c r="A3" s="97" t="s">
        <v>184</v>
      </c>
    </row>
    <row r="5" spans="1:3" x14ac:dyDescent="0.35">
      <c r="A5" s="101" t="s">
        <v>161</v>
      </c>
    </row>
    <row r="6" spans="1:3" x14ac:dyDescent="0.35">
      <c r="A6" s="102" t="s">
        <v>162</v>
      </c>
      <c r="B6" s="102" t="s">
        <v>163</v>
      </c>
      <c r="C6" s="102" t="s">
        <v>164</v>
      </c>
    </row>
    <row r="7" spans="1:3" x14ac:dyDescent="0.35">
      <c r="A7" s="107" t="s">
        <v>165</v>
      </c>
      <c r="B7" s="103" t="s">
        <v>166</v>
      </c>
      <c r="C7" s="104" t="s">
        <v>167</v>
      </c>
    </row>
    <row r="8" spans="1:3" x14ac:dyDescent="0.35">
      <c r="A8" s="107" t="s">
        <v>168</v>
      </c>
      <c r="B8" s="103" t="s">
        <v>166</v>
      </c>
      <c r="C8" s="104" t="s">
        <v>169</v>
      </c>
    </row>
    <row r="9" spans="1:3" x14ac:dyDescent="0.35">
      <c r="A9" s="107" t="s">
        <v>170</v>
      </c>
      <c r="B9" s="105" t="s">
        <v>171</v>
      </c>
      <c r="C9" s="104" t="s">
        <v>172</v>
      </c>
    </row>
    <row r="10" spans="1:3" x14ac:dyDescent="0.35">
      <c r="A10" s="107" t="s">
        <v>173</v>
      </c>
      <c r="B10" s="105" t="s">
        <v>171</v>
      </c>
      <c r="C10" s="104" t="s">
        <v>174</v>
      </c>
    </row>
    <row r="11" spans="1:3" x14ac:dyDescent="0.35">
      <c r="A11" s="107" t="s">
        <v>146</v>
      </c>
      <c r="B11" s="105" t="s">
        <v>171</v>
      </c>
      <c r="C11" s="104" t="s">
        <v>175</v>
      </c>
    </row>
    <row r="12" spans="1:3" x14ac:dyDescent="0.35">
      <c r="A12" s="107" t="s">
        <v>137</v>
      </c>
      <c r="B12" s="105" t="s">
        <v>171</v>
      </c>
      <c r="C12" s="104" t="s">
        <v>176</v>
      </c>
    </row>
    <row r="13" spans="1:3" x14ac:dyDescent="0.35">
      <c r="A13" s="107" t="s">
        <v>177</v>
      </c>
      <c r="B13" s="106" t="s">
        <v>178</v>
      </c>
      <c r="C13" s="104" t="s">
        <v>179</v>
      </c>
    </row>
    <row r="15" spans="1:3" x14ac:dyDescent="0.35">
      <c r="A15" s="97" t="s">
        <v>180</v>
      </c>
    </row>
    <row r="17" spans="1:3" x14ac:dyDescent="0.35">
      <c r="A17" s="101" t="s">
        <v>181</v>
      </c>
    </row>
    <row r="18" spans="1:3" x14ac:dyDescent="0.35">
      <c r="A18" s="108" t="str">
        <f>"•  Revenue: forecast "&amp;TEXT(Variance!B26,"$#,##0")&amp;"M vs. actual "&amp;TEXT(Variance!C26,"$#,##0")&amp;"M — a miss of "&amp;TEXT(ABS(Variance!D26),"$#,##0")&amp;"M ("&amp;TEXT(Variance!E26,"0.0%")&amp;")"</f>
        <v>•  Revenue: forecast $12,707M vs. actual $12,560M — a miss of $147M (-1.2%)</v>
      </c>
      <c r="B18" s="109"/>
      <c r="C18" s="109"/>
    </row>
    <row r="19" spans="1:3" x14ac:dyDescent="0.35">
      <c r="A19" s="108" t="str">
        <f>"•  Operating margin: forecast "&amp;TEXT(Variance!B27,"0.0%")&amp;" vs. actual "&amp;TEXT(Variance!C27,"0.0%")&amp;" — "&amp;TEXT(Variance!D27*100,"+0.0;-0.0")&amp;"pp"</f>
        <v>•  Operating margin: forecast 30.0% vs. actual 33.4% — +3.4pp</v>
      </c>
      <c r="B19" s="109"/>
      <c r="C19" s="109"/>
    </row>
    <row r="20" spans="1:3" x14ac:dyDescent="0.35">
      <c r="A20" s="108" t="str">
        <f>"•  Operating income: forecast "&amp;TEXT(Variance!B28,"$#,##0")&amp;"M vs. actual "&amp;TEXT(Variance!C28,"$#,##0")&amp;"M — a beat of "&amp;TEXT(Variance!D28,"$#,##0")&amp;"M ("&amp;TEXT(Variance!E28,"+0.0%")&amp;")"</f>
        <v>•  Operating income: forecast $3,812M vs. actual $4,193M — a beat of $381M (+10.0%)</v>
      </c>
      <c r="B20" s="109"/>
      <c r="C20" s="109"/>
    </row>
    <row r="21" spans="1:3" ht="6" customHeight="1" x14ac:dyDescent="0.35">
      <c r="A21" s="109"/>
      <c r="B21" s="109"/>
      <c r="C21" s="109"/>
    </row>
    <row r="22" spans="1:3" ht="32.15" customHeight="1" x14ac:dyDescent="0.35">
      <c r="A22" s="112" t="str">
        <f>"The revenue miss was more than offset by margin outperformance — "&amp;TEXT(ABS(Variance!B31),"$#,##0")&amp;"M of revenue drag against "&amp;TEXT(Variance!B32,"$#,##0")&amp;"M of margin benefit, netting a "&amp;TEXT(Variance!B33,"$#,##0")&amp;"M operating income beat."</f>
        <v>The revenue miss was more than offset by margin outperformance — $44M of revenue drag against $425M of margin benefit, netting a $381M operating income beat.</v>
      </c>
      <c r="B22" s="113"/>
      <c r="C22" s="113"/>
    </row>
    <row r="24" spans="1:3" x14ac:dyDescent="0.35">
      <c r="A24" s="101" t="s">
        <v>182</v>
      </c>
    </row>
    <row r="25" spans="1:3" ht="22" customHeight="1" x14ac:dyDescent="0.35">
      <c r="A25" s="110" t="s">
        <v>183</v>
      </c>
      <c r="B25" s="111"/>
      <c r="C25" s="111"/>
    </row>
    <row r="26" spans="1:3" ht="22" customHeight="1" x14ac:dyDescent="0.35">
      <c r="A26" s="111"/>
      <c r="B26" s="111"/>
      <c r="C26" s="111"/>
    </row>
    <row r="27" spans="1:3" ht="22" customHeight="1" x14ac:dyDescent="0.35">
      <c r="A27" s="111"/>
      <c r="B27" s="111"/>
      <c r="C27" s="111"/>
    </row>
    <row r="28" spans="1:3" ht="22" customHeight="1" x14ac:dyDescent="0.35">
      <c r="A28" s="111"/>
      <c r="B28" s="111"/>
      <c r="C28" s="111"/>
    </row>
  </sheetData>
  <mergeCells count="2">
    <mergeCell ref="A25:C28"/>
    <mergeCell ref="A22:C22"/>
  </mergeCells>
  <hyperlinks>
    <hyperlink ref="A7" location="'Historical'!A1" tooltip="Go to Historical" display="Historical" xr:uid="{1961C764-6FC3-44C7-B94B-656BDE2BF451}"/>
    <hyperlink ref="A8" location="'Assumptions'!A1" tooltip="Go to Assumptions" display="Assumptions" xr:uid="{57D2416B-4C07-4A7B-AFDA-936D231EA5BB}"/>
    <hyperlink ref="A9" location="'Revenue Build'!A1" tooltip="Go to Revenue Build" display="Revenue Build" xr:uid="{750CD96A-ADC6-41F8-8761-4DC103E488F6}"/>
    <hyperlink ref="A10" location="'P&amp;L'!A1" tooltip="Go to P&amp;L" display="P&amp;L" xr:uid="{8B6E7273-30D6-4E96-B29E-96C709C50A81}"/>
    <hyperlink ref="A11" location="'Scenario'!A1" tooltip="Go to Scenario" display="Scenario" xr:uid="{C9F7AE20-D93D-454A-8323-CBC222FDFD8A}"/>
    <hyperlink ref="A12" location="'Variance'!A1" tooltip="Go to Variance" display="Variance" xr:uid="{D60D82B9-3E4B-499C-8233-E3F14A50AD7C}"/>
    <hyperlink ref="A13" location="'Dashboard'!A1" tooltip="Go to Dashboard" display="Dashboard" xr:uid="{B65BBC8B-E9D6-41BE-9134-94D97B569E4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3719D-AD0F-4362-87A8-EB53D6EE74AF}">
  <sheetPr>
    <tabColor rgb="FF0070C0"/>
  </sheetPr>
  <dimension ref="A1:R32"/>
  <sheetViews>
    <sheetView zoomScaleNormal="100" workbookViewId="0">
      <selection activeCell="D6" sqref="D6"/>
    </sheetView>
  </sheetViews>
  <sheetFormatPr defaultColWidth="9.1796875" defaultRowHeight="14" x14ac:dyDescent="0.3"/>
  <cols>
    <col min="1" max="1" width="23.81640625" style="12" customWidth="1"/>
    <col min="2" max="2" width="11.26953125" style="12" bestFit="1" customWidth="1"/>
    <col min="3" max="3" width="9.26953125" style="12" bestFit="1" customWidth="1"/>
    <col min="4" max="4" width="12.54296875" style="12" bestFit="1" customWidth="1"/>
    <col min="5" max="5" width="6.453125" style="12" bestFit="1" customWidth="1"/>
    <col min="6" max="6" width="9.26953125" style="12" bestFit="1" customWidth="1"/>
    <col min="7" max="7" width="54.81640625" style="12" customWidth="1"/>
    <col min="8" max="18" width="9.26953125" style="12" bestFit="1" customWidth="1"/>
    <col min="19" max="16384" width="9.1796875" style="12"/>
  </cols>
  <sheetData>
    <row r="1" spans="1:18" ht="18" x14ac:dyDescent="0.4">
      <c r="A1" s="11" t="s">
        <v>22</v>
      </c>
    </row>
    <row r="2" spans="1:18" x14ac:dyDescent="0.3">
      <c r="A2" s="8" t="s">
        <v>54</v>
      </c>
    </row>
    <row r="4" spans="1:18" x14ac:dyDescent="0.3">
      <c r="A4" s="51" t="s">
        <v>23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4.5" x14ac:dyDescent="0.35">
      <c r="A5" s="29" t="s">
        <v>96</v>
      </c>
      <c r="B5" s="38" t="s">
        <v>39</v>
      </c>
      <c r="C5" s="38" t="s">
        <v>40</v>
      </c>
      <c r="D5" s="38" t="s">
        <v>41</v>
      </c>
      <c r="E5" s="38" t="s">
        <v>42</v>
      </c>
      <c r="F5" s="38" t="s">
        <v>43</v>
      </c>
      <c r="G5" s="38" t="s">
        <v>44</v>
      </c>
      <c r="H5" s="38" t="s">
        <v>46</v>
      </c>
      <c r="I5" s="38" t="s">
        <v>45</v>
      </c>
      <c r="J5" s="38" t="s">
        <v>48</v>
      </c>
      <c r="K5" s="38" t="s">
        <v>49</v>
      </c>
      <c r="L5" s="38" t="s">
        <v>11</v>
      </c>
      <c r="M5" s="38" t="s">
        <v>7</v>
      </c>
      <c r="N5" s="38" t="s">
        <v>8</v>
      </c>
      <c r="O5" s="38" t="s">
        <v>9</v>
      </c>
      <c r="P5" s="38" t="s">
        <v>10</v>
      </c>
      <c r="Q5" s="38" t="s">
        <v>24</v>
      </c>
      <c r="R5" s="38" t="s">
        <v>25</v>
      </c>
    </row>
    <row r="6" spans="1:18" x14ac:dyDescent="0.3">
      <c r="A6" s="13" t="s">
        <v>26</v>
      </c>
      <c r="B6" s="39">
        <f>Historical!F6/Historical!B6-1</f>
        <v>5.6449069694102905E-2</v>
      </c>
      <c r="C6" s="39">
        <f>Historical!G6/Historical!C6-1</f>
        <v>9.3663060278207144E-2</v>
      </c>
      <c r="D6" s="39">
        <f>Historical!H6/Historical!D6-1</f>
        <v>0.10558624923265802</v>
      </c>
      <c r="E6" s="39">
        <f>Historical!I6/Historical!E6-1</f>
        <v>8.6430945905107359E-2</v>
      </c>
      <c r="F6" s="39">
        <f>Historical!J6/Historical!F6-1</f>
        <v>7.7313432835820928E-2</v>
      </c>
      <c r="G6" s="39">
        <f>Historical!K6/Historical!G6-1</f>
        <v>1.7241379310344751E-2</v>
      </c>
      <c r="H6" s="39">
        <f>Historical!L6/Historical!H6-1</f>
        <v>3.6923931149361433E-2</v>
      </c>
      <c r="I6" s="39">
        <f>Historical!M6/Historical!I6-1</f>
        <v>9.3463143254520098E-2</v>
      </c>
      <c r="J6" s="39">
        <f>Historical!N6/Historical!J6-1</f>
        <v>0.17040731504571904</v>
      </c>
      <c r="K6" s="39">
        <f>Historical!O6/Historical!K6-1</f>
        <v>0.19366490691858851</v>
      </c>
      <c r="L6" s="39">
        <f>Historical!P6/Historical!L6-1</f>
        <v>0.15716198125836689</v>
      </c>
      <c r="M6" s="39">
        <f>Historical!Q6/Historical!M6-1</f>
        <v>0.14907148308318496</v>
      </c>
      <c r="N6" s="39">
        <f>Historical!R6/Historical!N6-1</f>
        <v>9.3039772727272707E-2</v>
      </c>
      <c r="O6" s="39">
        <f>Historical!S6/Historical!O6-1</f>
        <v>0.14734636871508378</v>
      </c>
      <c r="P6" s="39">
        <f>Historical!T6/Historical!P6-1</f>
        <v>0.17353077279037477</v>
      </c>
      <c r="Q6" s="39">
        <f>Historical!U6/Historical!Q6-1</f>
        <v>0.18197918972769545</v>
      </c>
      <c r="R6" s="39">
        <f>Historical!V6/Historical!R6-1</f>
        <v>0.1360190599956681</v>
      </c>
    </row>
    <row r="7" spans="1:18" x14ac:dyDescent="0.3">
      <c r="A7" s="13" t="s">
        <v>27</v>
      </c>
      <c r="B7" s="39">
        <f>Historical!F7/Historical!B7-1</f>
        <v>9.3003412969283383E-2</v>
      </c>
      <c r="C7" s="39">
        <f>Historical!G7/Historical!C7-1</f>
        <v>2.3749999999999938E-2</v>
      </c>
      <c r="D7" s="39">
        <f>Historical!H7/Historical!D7-1</f>
        <v>-2.3026315789473673E-2</v>
      </c>
      <c r="E7" s="39">
        <f>Historical!I7/Historical!E7-1</f>
        <v>-6.8569163694015112E-2</v>
      </c>
      <c r="F7" s="39">
        <f>Historical!J7/Historical!F7-1</f>
        <v>-1.7174082747853259E-2</v>
      </c>
      <c r="G7" s="39">
        <f>Historical!K7/Historical!G7-1</f>
        <v>4.2735042735042805E-2</v>
      </c>
      <c r="H7" s="39">
        <f>Historical!L7/Historical!H7-1</f>
        <v>0.13341750841750843</v>
      </c>
      <c r="I7" s="39">
        <f>Historical!M7/Historical!I7-1</f>
        <v>0.18468085106382981</v>
      </c>
      <c r="J7" s="39">
        <f>Historical!N7/Historical!J7-1</f>
        <v>0.17474185861795077</v>
      </c>
      <c r="K7" s="39">
        <f>Historical!O7/Historical!K7-1</f>
        <v>0.17408274785323963</v>
      </c>
      <c r="L7" s="39">
        <f>Historical!P7/Historical!L7-1</f>
        <v>0.16338655774229482</v>
      </c>
      <c r="M7" s="39">
        <f>Historical!Q7/Historical!M7-1</f>
        <v>0.18103448275862077</v>
      </c>
      <c r="N7" s="39">
        <f>Historical!R7/Historical!N7-1</f>
        <v>0.15111561866125767</v>
      </c>
      <c r="O7" s="39">
        <f>Historical!S7/Historical!O7-1</f>
        <v>0.17619680851063824</v>
      </c>
      <c r="P7" s="39">
        <f>Historical!T7/Historical!P7-1</f>
        <v>0.18065751675710184</v>
      </c>
      <c r="Q7" s="39">
        <f>Historical!U7/Historical!Q7-1</f>
        <v>0.17791970802919699</v>
      </c>
      <c r="R7" s="39">
        <f>Historical!V7/Historical!R7-1</f>
        <v>0.17415565345080775</v>
      </c>
    </row>
    <row r="8" spans="1:18" x14ac:dyDescent="0.3">
      <c r="A8" s="13" t="s">
        <v>28</v>
      </c>
      <c r="B8" s="39">
        <f>Historical!F8/Historical!B8-1</f>
        <v>0.19354838709677424</v>
      </c>
      <c r="C8" s="39">
        <f>Historical!G8/Historical!C8-1</f>
        <v>0.19628339140534257</v>
      </c>
      <c r="D8" s="39">
        <f>Historical!H8/Historical!D8-1</f>
        <v>0.11912568306010929</v>
      </c>
      <c r="E8" s="39">
        <f>Historical!I8/Historical!E8-1</f>
        <v>5.4979253112033222E-2</v>
      </c>
      <c r="F8" s="39">
        <f>Historical!J8/Historical!F8-1</f>
        <v>7.1071071071071135E-2</v>
      </c>
      <c r="G8" s="39">
        <f>Historical!K8/Historical!G8-1</f>
        <v>4.5631067961165117E-2</v>
      </c>
      <c r="H8" s="39">
        <f>Historical!L8/Historical!H8-1</f>
        <v>0.1162109375</v>
      </c>
      <c r="I8" s="39">
        <f>Historical!M8/Historical!I8-1</f>
        <v>0.13667649950835781</v>
      </c>
      <c r="J8" s="39">
        <f>Historical!N8/Historical!J8-1</f>
        <v>8.8785046728971917E-2</v>
      </c>
      <c r="K8" s="39">
        <f>Historical!O8/Historical!K8-1</f>
        <v>0.11792014856081701</v>
      </c>
      <c r="L8" s="39">
        <f>Historical!P8/Historical!L8-1</f>
        <v>8.5739282589676336E-2</v>
      </c>
      <c r="M8" s="39">
        <f>Historical!Q8/Historical!M8-1</f>
        <v>6.4013840830449809E-2</v>
      </c>
      <c r="N8" s="39">
        <f>Historical!R8/Historical!N8-1</f>
        <v>8.3261802575107291E-2</v>
      </c>
      <c r="O8" s="39">
        <f>Historical!S8/Historical!O8-1</f>
        <v>8.5548172757475172E-2</v>
      </c>
      <c r="P8" s="39">
        <f>Historical!T8/Historical!P8-1</f>
        <v>0.10475423045930699</v>
      </c>
      <c r="Q8" s="39">
        <f>Historical!U8/Historical!Q8-1</f>
        <v>0.15284552845528454</v>
      </c>
      <c r="R8" s="39">
        <f>Historical!V8/Historical!R8-1</f>
        <v>0.18621236133122032</v>
      </c>
    </row>
    <row r="9" spans="1:18" x14ac:dyDescent="0.3">
      <c r="A9" s="13" t="s">
        <v>29</v>
      </c>
      <c r="B9" s="39">
        <f>Historical!F9/Historical!B9-1</f>
        <v>0.20341207349081358</v>
      </c>
      <c r="C9" s="39">
        <f>Historical!G9/Historical!C9-1</f>
        <v>0.13642052565707141</v>
      </c>
      <c r="D9" s="39">
        <f>Historical!H9/Historical!D9-1</f>
        <v>6.5947242206235046E-2</v>
      </c>
      <c r="E9" s="39">
        <f>Historical!I9/Historical!E9-1</f>
        <v>-1.6073478760045945E-2</v>
      </c>
      <c r="F9" s="39">
        <f>Historical!J9/Historical!F9-1</f>
        <v>1.8538713195201728E-2</v>
      </c>
      <c r="G9" s="39">
        <f>Historical!K9/Historical!G9-1</f>
        <v>1.2114537444933848E-2</v>
      </c>
      <c r="H9" s="39">
        <f>Historical!L9/Historical!H9-1</f>
        <v>6.6366704161979762E-2</v>
      </c>
      <c r="I9" s="39">
        <f>Historical!M9/Historical!I9-1</f>
        <v>0.12368728121353567</v>
      </c>
      <c r="J9" s="39">
        <f>Historical!N9/Historical!J9-1</f>
        <v>9.5289079229122109E-2</v>
      </c>
      <c r="K9" s="39">
        <f>Historical!O9/Historical!K9-1</f>
        <v>0.14472252448313383</v>
      </c>
      <c r="L9" s="39">
        <f>Historical!P9/Historical!L9-1</f>
        <v>0.18987341772151889</v>
      </c>
      <c r="M9" s="39">
        <f>Historical!Q9/Historical!M9-1</f>
        <v>0.25856697819314634</v>
      </c>
      <c r="N9" s="39">
        <f>Historical!R9/Historical!N9-1</f>
        <v>0.23069403714565007</v>
      </c>
      <c r="O9" s="39">
        <f>Historical!S9/Historical!O9-1</f>
        <v>0.24049429657794685</v>
      </c>
      <c r="P9" s="39">
        <f>Historical!T9/Historical!P9-1</f>
        <v>0.21365248226950362</v>
      </c>
      <c r="Q9" s="39">
        <f>Historical!U9/Historical!Q9-1</f>
        <v>0.17244224422442245</v>
      </c>
      <c r="R9" s="39">
        <f>Historical!V9/Historical!R9-1</f>
        <v>0.19857029388403502</v>
      </c>
    </row>
    <row r="12" spans="1:18" x14ac:dyDescent="0.3">
      <c r="A12" s="52" t="s">
        <v>55</v>
      </c>
      <c r="B12" s="33"/>
      <c r="C12" s="33"/>
      <c r="D12" s="33"/>
      <c r="E12" s="33"/>
      <c r="F12" s="34"/>
      <c r="G12" s="34"/>
    </row>
    <row r="13" spans="1:18" x14ac:dyDescent="0.3">
      <c r="A13" s="40" t="s">
        <v>56</v>
      </c>
      <c r="B13" s="41" t="s">
        <v>30</v>
      </c>
      <c r="C13" s="40" t="s">
        <v>31</v>
      </c>
      <c r="D13" s="40" t="s">
        <v>32</v>
      </c>
      <c r="E13" s="40" t="s">
        <v>33</v>
      </c>
      <c r="F13" s="13"/>
      <c r="G13" s="30" t="s">
        <v>34</v>
      </c>
    </row>
    <row r="14" spans="1:18" ht="45" customHeight="1" x14ac:dyDescent="0.3">
      <c r="A14" s="42" t="s">
        <v>26</v>
      </c>
      <c r="B14" s="43">
        <v>0.12</v>
      </c>
      <c r="C14" s="43">
        <v>0.11</v>
      </c>
      <c r="D14" s="43">
        <v>0.1</v>
      </c>
      <c r="E14" s="43">
        <v>0.1</v>
      </c>
      <c r="G14" s="28" t="s">
        <v>57</v>
      </c>
    </row>
    <row r="15" spans="1:18" ht="44.25" customHeight="1" x14ac:dyDescent="0.3">
      <c r="A15" s="42" t="s">
        <v>27</v>
      </c>
      <c r="B15" s="43">
        <v>0.16</v>
      </c>
      <c r="C15" s="43">
        <v>0.15</v>
      </c>
      <c r="D15" s="43">
        <v>0.15</v>
      </c>
      <c r="E15" s="43">
        <v>0.14000000000000001</v>
      </c>
      <c r="G15" s="28" t="s">
        <v>58</v>
      </c>
    </row>
    <row r="16" spans="1:18" ht="45" customHeight="1" x14ac:dyDescent="0.3">
      <c r="A16" s="42" t="s">
        <v>28</v>
      </c>
      <c r="B16" s="43">
        <v>0.17</v>
      </c>
      <c r="C16" s="43">
        <v>0.16</v>
      </c>
      <c r="D16" s="43">
        <v>0.15</v>
      </c>
      <c r="E16" s="43">
        <v>0.15</v>
      </c>
      <c r="G16" s="28" t="s">
        <v>59</v>
      </c>
    </row>
    <row r="17" spans="1:7" ht="45" customHeight="1" x14ac:dyDescent="0.3">
      <c r="A17" s="42" t="s">
        <v>29</v>
      </c>
      <c r="B17" s="43">
        <v>0.19</v>
      </c>
      <c r="C17" s="43">
        <v>0.18</v>
      </c>
      <c r="D17" s="43">
        <v>0.18</v>
      </c>
      <c r="E17" s="43">
        <v>0.17</v>
      </c>
      <c r="G17" s="28" t="s">
        <v>60</v>
      </c>
    </row>
    <row r="19" spans="1:7" x14ac:dyDescent="0.3">
      <c r="A19" s="35" t="s">
        <v>61</v>
      </c>
      <c r="B19" s="36"/>
      <c r="C19" s="36"/>
      <c r="D19" s="36"/>
      <c r="E19" s="36"/>
      <c r="F19" s="37"/>
      <c r="G19" s="37"/>
    </row>
    <row r="20" spans="1:7" ht="39" customHeight="1" x14ac:dyDescent="0.3">
      <c r="A20" s="31" t="s">
        <v>56</v>
      </c>
      <c r="B20" s="44" t="s">
        <v>63</v>
      </c>
      <c r="C20" s="44" t="s">
        <v>64</v>
      </c>
      <c r="D20" s="44" t="s">
        <v>68</v>
      </c>
      <c r="E20" s="32"/>
    </row>
    <row r="21" spans="1:7" x14ac:dyDescent="0.3">
      <c r="A21" s="13" t="s">
        <v>26</v>
      </c>
      <c r="B21" s="45">
        <f>SUM(Historical!R6:U6)</f>
        <v>19957</v>
      </c>
      <c r="C21" s="46">
        <f>AVERAGE(B14:E14)</f>
        <v>0.10749999999999998</v>
      </c>
      <c r="D21" s="47">
        <f>B21*(1+C21)</f>
        <v>22102.377499999999</v>
      </c>
      <c r="E21" s="13"/>
    </row>
    <row r="22" spans="1:7" x14ac:dyDescent="0.3">
      <c r="A22" s="13" t="s">
        <v>27</v>
      </c>
      <c r="B22" s="45">
        <f>SUM(Historical!R7:U7)</f>
        <v>14515</v>
      </c>
      <c r="C22" s="46">
        <f t="shared" ref="C22:C24" si="0">AVERAGE(B15:E15)</f>
        <v>0.15</v>
      </c>
      <c r="D22" s="47">
        <f t="shared" ref="D22:D24" si="1">B22*(1+C22)</f>
        <v>16692.25</v>
      </c>
      <c r="E22" s="13"/>
    </row>
    <row r="23" spans="1:7" x14ac:dyDescent="0.3">
      <c r="A23" s="13" t="s">
        <v>28</v>
      </c>
      <c r="B23" s="45">
        <f>SUM(Historical!R8:U8)</f>
        <v>5358</v>
      </c>
      <c r="C23" s="46">
        <f t="shared" si="0"/>
        <v>0.1575</v>
      </c>
      <c r="D23" s="47">
        <f t="shared" si="1"/>
        <v>6201.8850000000002</v>
      </c>
      <c r="E23" s="13"/>
    </row>
    <row r="24" spans="1:7" x14ac:dyDescent="0.3">
      <c r="A24" s="13" t="s">
        <v>29</v>
      </c>
      <c r="B24" s="45">
        <f>SUM(Historical!R9:U9)</f>
        <v>5354</v>
      </c>
      <c r="C24" s="46">
        <f t="shared" si="0"/>
        <v>0.18000000000000002</v>
      </c>
      <c r="D24" s="47">
        <f t="shared" si="1"/>
        <v>6317.7199999999993</v>
      </c>
      <c r="E24" s="13"/>
    </row>
    <row r="25" spans="1:7" x14ac:dyDescent="0.3">
      <c r="A25" s="14" t="s">
        <v>62</v>
      </c>
      <c r="B25" s="48">
        <f>SUM(B21:B24)</f>
        <v>45184</v>
      </c>
      <c r="C25" s="49"/>
      <c r="D25" s="47">
        <f>SUM(D21:D24)</f>
        <v>51314.232500000006</v>
      </c>
      <c r="E25" s="13"/>
    </row>
    <row r="26" spans="1:7" x14ac:dyDescent="0.3">
      <c r="A26" s="13" t="s">
        <v>65</v>
      </c>
      <c r="B26" s="15">
        <f>(D25/B25)-1</f>
        <v>0.13567263854461764</v>
      </c>
      <c r="C26" s="8" t="s">
        <v>66</v>
      </c>
      <c r="D26" s="13"/>
      <c r="E26" s="13"/>
    </row>
    <row r="28" spans="1:7" ht="30" customHeight="1" x14ac:dyDescent="0.3">
      <c r="A28" s="8" t="s">
        <v>67</v>
      </c>
    </row>
    <row r="30" spans="1:7" x14ac:dyDescent="0.3">
      <c r="A30" s="52" t="s">
        <v>81</v>
      </c>
      <c r="B30" s="34"/>
      <c r="C30" s="34"/>
      <c r="D30" s="34"/>
      <c r="E30" s="34"/>
      <c r="F30" s="34"/>
      <c r="G30" s="34"/>
    </row>
    <row r="31" spans="1:7" x14ac:dyDescent="0.3">
      <c r="B31" s="41" t="s">
        <v>30</v>
      </c>
      <c r="C31" s="40" t="s">
        <v>31</v>
      </c>
      <c r="D31" s="40" t="s">
        <v>32</v>
      </c>
      <c r="E31" s="40" t="s">
        <v>33</v>
      </c>
      <c r="G31" s="30" t="s">
        <v>34</v>
      </c>
    </row>
    <row r="32" spans="1:7" ht="48" x14ac:dyDescent="0.3">
      <c r="A32" s="12" t="s">
        <v>19</v>
      </c>
      <c r="B32" s="50">
        <v>0.3</v>
      </c>
      <c r="C32" s="50">
        <v>0.28000000000000003</v>
      </c>
      <c r="D32" s="50">
        <v>0.25</v>
      </c>
      <c r="E32" s="50">
        <v>0.31</v>
      </c>
      <c r="G32" s="28" t="s">
        <v>82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3655-02A1-4E69-B12B-557B9D820180}">
  <sheetPr>
    <tabColor rgb="FF0070C0"/>
  </sheetPr>
  <dimension ref="A1:AA29"/>
  <sheetViews>
    <sheetView zoomScale="102" workbookViewId="0">
      <selection activeCell="C5" sqref="C5"/>
    </sheetView>
  </sheetViews>
  <sheetFormatPr defaultColWidth="8.7265625" defaultRowHeight="14.5" x14ac:dyDescent="0.35"/>
  <cols>
    <col min="1" max="1" width="32.1796875" style="1" customWidth="1"/>
    <col min="2" max="8" width="10.54296875" style="1" bestFit="1" customWidth="1"/>
    <col min="9" max="14" width="8.7265625" style="1"/>
    <col min="15" max="15" width="9.453125" style="1" bestFit="1" customWidth="1"/>
    <col min="16" max="16384" width="8.7265625" style="1"/>
  </cols>
  <sheetData>
    <row r="1" spans="1:27" ht="18" x14ac:dyDescent="0.4">
      <c r="A1" s="26" t="s">
        <v>14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7" x14ac:dyDescent="0.35">
      <c r="A2" s="27" t="s">
        <v>12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7" x14ac:dyDescent="0.3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spans="1:27" x14ac:dyDescent="0.35">
      <c r="A4" s="21" t="s">
        <v>0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39</v>
      </c>
      <c r="G4" s="6" t="s">
        <v>40</v>
      </c>
      <c r="H4" s="6" t="s">
        <v>41</v>
      </c>
      <c r="I4" s="6" t="s">
        <v>42</v>
      </c>
      <c r="J4" s="6" t="s">
        <v>43</v>
      </c>
      <c r="K4" s="6" t="s">
        <v>44</v>
      </c>
      <c r="L4" s="6" t="s">
        <v>46</v>
      </c>
      <c r="M4" s="6" t="s">
        <v>45</v>
      </c>
      <c r="N4" s="6" t="s">
        <v>48</v>
      </c>
      <c r="O4" s="6" t="s">
        <v>49</v>
      </c>
      <c r="P4" s="6" t="s">
        <v>11</v>
      </c>
      <c r="Q4" s="6" t="s">
        <v>7</v>
      </c>
      <c r="R4" s="6" t="s">
        <v>8</v>
      </c>
      <c r="S4" s="6" t="s">
        <v>9</v>
      </c>
      <c r="T4" s="6" t="s">
        <v>10</v>
      </c>
      <c r="U4" s="6" t="s">
        <v>24</v>
      </c>
      <c r="V4" s="6" t="s">
        <v>25</v>
      </c>
      <c r="W4" s="7" t="s">
        <v>20</v>
      </c>
    </row>
    <row r="5" spans="1:27" x14ac:dyDescent="0.35">
      <c r="A5" s="22" t="s">
        <v>13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</row>
    <row r="6" spans="1:27" x14ac:dyDescent="0.35">
      <c r="A6" s="20" t="s">
        <v>1</v>
      </c>
      <c r="B6" s="3">
        <v>3171</v>
      </c>
      <c r="C6" s="3">
        <v>3235</v>
      </c>
      <c r="D6" s="3">
        <v>3258</v>
      </c>
      <c r="E6" s="3">
        <v>3309</v>
      </c>
      <c r="F6" s="3">
        <v>3350</v>
      </c>
      <c r="G6" s="3">
        <v>3538</v>
      </c>
      <c r="H6" s="3">
        <v>3602</v>
      </c>
      <c r="I6" s="3">
        <v>3595</v>
      </c>
      <c r="J6" s="3">
        <v>3609</v>
      </c>
      <c r="K6" s="3">
        <v>3599</v>
      </c>
      <c r="L6" s="3">
        <v>3735</v>
      </c>
      <c r="M6" s="3">
        <v>3931</v>
      </c>
      <c r="N6" s="3">
        <v>4224</v>
      </c>
      <c r="O6" s="3">
        <v>4296</v>
      </c>
      <c r="P6" s="3">
        <v>4322</v>
      </c>
      <c r="Q6" s="3">
        <v>4517</v>
      </c>
      <c r="R6" s="3">
        <v>4617</v>
      </c>
      <c r="S6" s="3">
        <v>4929</v>
      </c>
      <c r="T6" s="3">
        <v>5072</v>
      </c>
      <c r="U6" s="3">
        <v>5339</v>
      </c>
      <c r="V6" s="3">
        <v>5245</v>
      </c>
      <c r="W6" s="8" t="s">
        <v>50</v>
      </c>
    </row>
    <row r="7" spans="1:27" x14ac:dyDescent="0.35">
      <c r="A7" s="20" t="s">
        <v>2</v>
      </c>
      <c r="B7" s="3">
        <v>2344</v>
      </c>
      <c r="C7" s="3">
        <v>2400</v>
      </c>
      <c r="D7" s="3">
        <v>2432</v>
      </c>
      <c r="E7" s="3">
        <v>2523</v>
      </c>
      <c r="F7" s="3">
        <v>2562</v>
      </c>
      <c r="G7" s="3">
        <v>2457</v>
      </c>
      <c r="H7" s="3">
        <v>2376</v>
      </c>
      <c r="I7" s="3">
        <v>2350</v>
      </c>
      <c r="J7" s="3">
        <v>2518</v>
      </c>
      <c r="K7" s="3">
        <v>2562</v>
      </c>
      <c r="L7" s="3">
        <v>2693</v>
      </c>
      <c r="M7" s="3">
        <v>2784</v>
      </c>
      <c r="N7" s="3">
        <v>2958</v>
      </c>
      <c r="O7" s="3">
        <v>3008</v>
      </c>
      <c r="P7" s="3">
        <v>3133</v>
      </c>
      <c r="Q7" s="3">
        <v>3288</v>
      </c>
      <c r="R7" s="3">
        <v>3405</v>
      </c>
      <c r="S7" s="3">
        <v>3538</v>
      </c>
      <c r="T7" s="3">
        <v>3699</v>
      </c>
      <c r="U7" s="3">
        <v>3873</v>
      </c>
      <c r="V7" s="3">
        <v>3998</v>
      </c>
      <c r="W7" s="8" t="s">
        <v>50</v>
      </c>
    </row>
    <row r="8" spans="1:27" x14ac:dyDescent="0.35">
      <c r="A8" s="20" t="s">
        <v>3</v>
      </c>
      <c r="B8" s="3">
        <v>837</v>
      </c>
      <c r="C8" s="3">
        <v>861</v>
      </c>
      <c r="D8" s="3">
        <v>915</v>
      </c>
      <c r="E8" s="3">
        <v>964</v>
      </c>
      <c r="F8" s="3">
        <v>999</v>
      </c>
      <c r="G8" s="3">
        <v>1030</v>
      </c>
      <c r="H8" s="3">
        <v>1024</v>
      </c>
      <c r="I8" s="3">
        <v>1017</v>
      </c>
      <c r="J8" s="3">
        <v>1070</v>
      </c>
      <c r="K8" s="3">
        <v>1077</v>
      </c>
      <c r="L8" s="3">
        <v>1143</v>
      </c>
      <c r="M8" s="3">
        <v>1156</v>
      </c>
      <c r="N8" s="3">
        <v>1165</v>
      </c>
      <c r="O8" s="3">
        <v>1204</v>
      </c>
      <c r="P8" s="3">
        <v>1241</v>
      </c>
      <c r="Q8" s="3">
        <v>1230</v>
      </c>
      <c r="R8" s="3">
        <v>1262</v>
      </c>
      <c r="S8" s="3">
        <v>1307</v>
      </c>
      <c r="T8" s="3">
        <v>1371</v>
      </c>
      <c r="U8" s="3">
        <v>1418</v>
      </c>
      <c r="V8" s="3">
        <v>1497</v>
      </c>
      <c r="W8" s="8" t="s">
        <v>50</v>
      </c>
    </row>
    <row r="9" spans="1:27" x14ac:dyDescent="0.35">
      <c r="A9" s="20" t="s">
        <v>4</v>
      </c>
      <c r="B9" s="3">
        <v>762</v>
      </c>
      <c r="C9" s="3">
        <v>799</v>
      </c>
      <c r="D9" s="3">
        <v>834</v>
      </c>
      <c r="E9" s="3">
        <v>871</v>
      </c>
      <c r="F9" s="3">
        <v>917</v>
      </c>
      <c r="G9" s="3">
        <v>908</v>
      </c>
      <c r="H9" s="3">
        <v>889</v>
      </c>
      <c r="I9" s="3">
        <v>857</v>
      </c>
      <c r="J9" s="3">
        <v>934</v>
      </c>
      <c r="K9" s="3">
        <v>919</v>
      </c>
      <c r="L9" s="3">
        <v>948</v>
      </c>
      <c r="M9" s="3">
        <v>963</v>
      </c>
      <c r="N9" s="3">
        <v>1023</v>
      </c>
      <c r="O9" s="3">
        <v>1052</v>
      </c>
      <c r="P9" s="3">
        <v>1128</v>
      </c>
      <c r="Q9" s="3">
        <v>1212</v>
      </c>
      <c r="R9" s="3">
        <v>1259</v>
      </c>
      <c r="S9" s="3">
        <v>1305</v>
      </c>
      <c r="T9" s="3">
        <v>1369</v>
      </c>
      <c r="U9" s="3">
        <v>1421</v>
      </c>
      <c r="V9" s="3">
        <v>1509</v>
      </c>
      <c r="W9" s="8" t="s">
        <v>50</v>
      </c>
    </row>
    <row r="10" spans="1:27" x14ac:dyDescent="0.35">
      <c r="A10" s="24" t="s">
        <v>15</v>
      </c>
      <c r="B10" s="9">
        <f>SUM(B6:B9)</f>
        <v>7114</v>
      </c>
      <c r="C10" s="9">
        <f t="shared" ref="C10:V10" si="0">SUM(C6:C9)</f>
        <v>7295</v>
      </c>
      <c r="D10" s="9">
        <f t="shared" si="0"/>
        <v>7439</v>
      </c>
      <c r="E10" s="9">
        <f t="shared" si="0"/>
        <v>7667</v>
      </c>
      <c r="F10" s="9">
        <f t="shared" si="0"/>
        <v>7828</v>
      </c>
      <c r="G10" s="9">
        <f t="shared" si="0"/>
        <v>7933</v>
      </c>
      <c r="H10" s="9">
        <f t="shared" si="0"/>
        <v>7891</v>
      </c>
      <c r="I10" s="9">
        <f t="shared" si="0"/>
        <v>7819</v>
      </c>
      <c r="J10" s="9">
        <f t="shared" si="0"/>
        <v>8131</v>
      </c>
      <c r="K10" s="9">
        <f t="shared" si="0"/>
        <v>8157</v>
      </c>
      <c r="L10" s="9">
        <f t="shared" si="0"/>
        <v>8519</v>
      </c>
      <c r="M10" s="9">
        <f t="shared" si="0"/>
        <v>8834</v>
      </c>
      <c r="N10" s="9">
        <f t="shared" si="0"/>
        <v>9370</v>
      </c>
      <c r="O10" s="9">
        <f t="shared" si="0"/>
        <v>9560</v>
      </c>
      <c r="P10" s="9">
        <f t="shared" si="0"/>
        <v>9824</v>
      </c>
      <c r="Q10" s="9">
        <f t="shared" si="0"/>
        <v>10247</v>
      </c>
      <c r="R10" s="9">
        <f t="shared" si="0"/>
        <v>10543</v>
      </c>
      <c r="S10" s="9">
        <f t="shared" si="0"/>
        <v>11079</v>
      </c>
      <c r="T10" s="9">
        <f t="shared" si="0"/>
        <v>11511</v>
      </c>
      <c r="U10" s="9">
        <f t="shared" si="0"/>
        <v>12051</v>
      </c>
      <c r="V10" s="9">
        <f t="shared" si="0"/>
        <v>12249</v>
      </c>
      <c r="W10" s="13"/>
    </row>
    <row r="11" spans="1:27" x14ac:dyDescent="0.35">
      <c r="A11" s="20" t="s">
        <v>16</v>
      </c>
      <c r="B11" s="3">
        <v>7163</v>
      </c>
      <c r="C11" s="3">
        <v>7342</v>
      </c>
      <c r="D11" s="3">
        <v>7483</v>
      </c>
      <c r="E11" s="3">
        <v>7709</v>
      </c>
      <c r="F11" s="3">
        <v>7868</v>
      </c>
      <c r="G11" s="3">
        <v>7970</v>
      </c>
      <c r="H11" s="3">
        <v>7926</v>
      </c>
      <c r="I11" s="3">
        <v>7852</v>
      </c>
      <c r="J11" s="3">
        <v>8162</v>
      </c>
      <c r="K11" s="3">
        <v>8187</v>
      </c>
      <c r="L11" s="3">
        <v>8542</v>
      </c>
      <c r="M11" s="3">
        <v>8833</v>
      </c>
      <c r="N11" s="3">
        <v>9370</v>
      </c>
      <c r="O11" s="3">
        <v>9559</v>
      </c>
      <c r="P11" s="3">
        <v>9825</v>
      </c>
      <c r="Q11" s="3">
        <v>10247</v>
      </c>
      <c r="R11" s="3">
        <v>10543</v>
      </c>
      <c r="S11" s="3">
        <v>11079</v>
      </c>
      <c r="T11" s="3">
        <v>11510</v>
      </c>
      <c r="U11" s="3">
        <v>12051</v>
      </c>
      <c r="V11" s="3">
        <v>12249</v>
      </c>
      <c r="W11" s="8" t="s">
        <v>51</v>
      </c>
    </row>
    <row r="12" spans="1:27" x14ac:dyDescent="0.35">
      <c r="A12" s="24" t="s">
        <v>17</v>
      </c>
      <c r="B12" s="10">
        <f t="shared" ref="B12:V12" si="1">B10-B11</f>
        <v>-49</v>
      </c>
      <c r="C12" s="10">
        <f t="shared" si="1"/>
        <v>-47</v>
      </c>
      <c r="D12" s="10">
        <f t="shared" si="1"/>
        <v>-44</v>
      </c>
      <c r="E12" s="10">
        <f t="shared" si="1"/>
        <v>-42</v>
      </c>
      <c r="F12" s="10">
        <f t="shared" si="1"/>
        <v>-40</v>
      </c>
      <c r="G12" s="10">
        <f t="shared" si="1"/>
        <v>-37</v>
      </c>
      <c r="H12" s="10">
        <f t="shared" si="1"/>
        <v>-35</v>
      </c>
      <c r="I12" s="10">
        <f t="shared" si="1"/>
        <v>-33</v>
      </c>
      <c r="J12" s="10">
        <f t="shared" si="1"/>
        <v>-31</v>
      </c>
      <c r="K12" s="10">
        <f t="shared" si="1"/>
        <v>-30</v>
      </c>
      <c r="L12" s="10">
        <f t="shared" si="1"/>
        <v>-23</v>
      </c>
      <c r="M12" s="10">
        <f t="shared" si="1"/>
        <v>1</v>
      </c>
      <c r="N12" s="10">
        <f t="shared" si="1"/>
        <v>0</v>
      </c>
      <c r="O12" s="10">
        <f t="shared" si="1"/>
        <v>1</v>
      </c>
      <c r="P12" s="10">
        <f t="shared" si="1"/>
        <v>-1</v>
      </c>
      <c r="Q12" s="10">
        <f t="shared" si="1"/>
        <v>0</v>
      </c>
      <c r="R12" s="10">
        <f t="shared" si="1"/>
        <v>0</v>
      </c>
      <c r="S12" s="10">
        <f t="shared" si="1"/>
        <v>0</v>
      </c>
      <c r="T12" s="10">
        <f t="shared" si="1"/>
        <v>1</v>
      </c>
      <c r="U12" s="10">
        <f t="shared" si="1"/>
        <v>0</v>
      </c>
      <c r="V12" s="10">
        <f t="shared" si="1"/>
        <v>0</v>
      </c>
      <c r="W12" s="13"/>
    </row>
    <row r="13" spans="1:27" x14ac:dyDescent="0.3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spans="1:27" x14ac:dyDescent="0.35">
      <c r="A14" s="22" t="s">
        <v>18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"/>
      <c r="Y14" s="2"/>
      <c r="Z14" s="2"/>
      <c r="AA14" s="2"/>
    </row>
    <row r="15" spans="1:27" x14ac:dyDescent="0.35">
      <c r="A15" s="20" t="s">
        <v>5</v>
      </c>
      <c r="B15" s="3">
        <v>1960</v>
      </c>
      <c r="C15" s="3">
        <v>1848</v>
      </c>
      <c r="D15" s="3">
        <v>1755</v>
      </c>
      <c r="E15" s="3">
        <v>632</v>
      </c>
      <c r="F15" s="3">
        <v>1972</v>
      </c>
      <c r="G15" s="3">
        <v>1578</v>
      </c>
      <c r="H15" s="3">
        <v>1533</v>
      </c>
      <c r="I15" s="3">
        <v>550</v>
      </c>
      <c r="J15" s="3">
        <v>1714</v>
      </c>
      <c r="K15" s="3">
        <v>1827</v>
      </c>
      <c r="L15" s="3">
        <v>1916</v>
      </c>
      <c r="M15" s="3">
        <v>1496</v>
      </c>
      <c r="N15" s="3">
        <v>2633</v>
      </c>
      <c r="O15" s="3">
        <v>2603</v>
      </c>
      <c r="P15" s="3">
        <v>2909</v>
      </c>
      <c r="Q15" s="3">
        <v>2273</v>
      </c>
      <c r="R15" s="3">
        <v>3347</v>
      </c>
      <c r="S15" s="3">
        <v>3775</v>
      </c>
      <c r="T15" s="3">
        <v>3248</v>
      </c>
      <c r="U15" s="3">
        <v>2957</v>
      </c>
      <c r="V15" s="3">
        <v>3957</v>
      </c>
      <c r="W15" s="8" t="s">
        <v>51</v>
      </c>
    </row>
    <row r="16" spans="1:27" x14ac:dyDescent="0.35">
      <c r="A16" s="20" t="s">
        <v>19</v>
      </c>
      <c r="B16" s="4">
        <v>0.27400000000000002</v>
      </c>
      <c r="C16" s="4">
        <v>0.252</v>
      </c>
      <c r="D16" s="4">
        <v>0.23499999999999999</v>
      </c>
      <c r="E16" s="4">
        <v>8.2000000000000003E-2</v>
      </c>
      <c r="F16" s="4">
        <v>0.251</v>
      </c>
      <c r="G16" s="4">
        <v>0.19800000000000001</v>
      </c>
      <c r="H16" s="4">
        <v>0.193</v>
      </c>
      <c r="I16" s="4">
        <v>7.0000000000000007E-2</v>
      </c>
      <c r="J16" s="4">
        <v>0.21</v>
      </c>
      <c r="K16" s="4">
        <v>0.223</v>
      </c>
      <c r="L16" s="4">
        <v>0.224</v>
      </c>
      <c r="M16" s="4">
        <v>0.16900000000000001</v>
      </c>
      <c r="N16" s="4">
        <v>0.28100000000000003</v>
      </c>
      <c r="O16" s="4">
        <v>0.27200000000000002</v>
      </c>
      <c r="P16" s="4">
        <v>0.29599999999999999</v>
      </c>
      <c r="Q16" s="4">
        <v>0.222</v>
      </c>
      <c r="R16" s="4">
        <v>0.317</v>
      </c>
      <c r="S16" s="4">
        <v>0.34100000000000003</v>
      </c>
      <c r="T16" s="4">
        <v>0.28199999999999997</v>
      </c>
      <c r="U16" s="4">
        <v>0.245</v>
      </c>
      <c r="V16" s="4">
        <v>0.32300000000000001</v>
      </c>
      <c r="W16" s="8" t="s">
        <v>51</v>
      </c>
    </row>
    <row r="17" spans="1:23" x14ac:dyDescent="0.35">
      <c r="A17" s="20" t="s">
        <v>6</v>
      </c>
      <c r="B17" s="3">
        <v>1707</v>
      </c>
      <c r="C17" s="3">
        <v>1353</v>
      </c>
      <c r="D17" s="3">
        <v>1449</v>
      </c>
      <c r="E17" s="3">
        <v>607</v>
      </c>
      <c r="F17" s="3">
        <v>1597</v>
      </c>
      <c r="G17" s="3">
        <v>1441</v>
      </c>
      <c r="H17" s="3">
        <v>1398</v>
      </c>
      <c r="I17" s="3">
        <v>55</v>
      </c>
      <c r="J17" s="3">
        <v>1305</v>
      </c>
      <c r="K17" s="3">
        <v>1488</v>
      </c>
      <c r="L17" s="3">
        <v>1677</v>
      </c>
      <c r="M17" s="3">
        <v>938</v>
      </c>
      <c r="N17" s="3">
        <v>2332</v>
      </c>
      <c r="O17" s="3">
        <v>2147</v>
      </c>
      <c r="P17" s="3">
        <v>2364</v>
      </c>
      <c r="Q17" s="3">
        <v>1869</v>
      </c>
      <c r="R17" s="3">
        <v>2890</v>
      </c>
      <c r="S17" s="3">
        <v>3125</v>
      </c>
      <c r="T17" s="3">
        <v>2547</v>
      </c>
      <c r="U17" s="3">
        <v>2419</v>
      </c>
      <c r="V17" s="3">
        <v>5283</v>
      </c>
      <c r="W17" s="8" t="s">
        <v>52</v>
      </c>
    </row>
    <row r="18" spans="1:23" x14ac:dyDescent="0.35">
      <c r="A18" s="20" t="s">
        <v>21</v>
      </c>
      <c r="B18" s="5">
        <v>0.38</v>
      </c>
      <c r="C18" s="5">
        <v>0.3</v>
      </c>
      <c r="D18" s="5">
        <v>0.32</v>
      </c>
      <c r="E18" s="5">
        <v>0.13</v>
      </c>
      <c r="F18" s="5">
        <v>0.35</v>
      </c>
      <c r="G18" s="5">
        <v>0.32</v>
      </c>
      <c r="H18" s="5">
        <v>0.31</v>
      </c>
      <c r="I18" s="5">
        <v>0.01</v>
      </c>
      <c r="J18" s="5">
        <v>0.28999999999999998</v>
      </c>
      <c r="K18" s="5">
        <v>0.33</v>
      </c>
      <c r="L18" s="5">
        <v>0.37</v>
      </c>
      <c r="M18" s="5">
        <v>0.21</v>
      </c>
      <c r="N18" s="5">
        <v>0.53</v>
      </c>
      <c r="O18" s="5">
        <v>0.49</v>
      </c>
      <c r="P18" s="5">
        <v>0.54</v>
      </c>
      <c r="Q18" s="5">
        <v>0.43</v>
      </c>
      <c r="R18" s="5">
        <v>0.66</v>
      </c>
      <c r="S18" s="5">
        <v>0.72</v>
      </c>
      <c r="T18" s="5">
        <v>0.59</v>
      </c>
      <c r="U18" s="5">
        <v>0.56000000000000005</v>
      </c>
      <c r="V18" s="5">
        <v>1.23</v>
      </c>
      <c r="W18" s="8" t="s">
        <v>53</v>
      </c>
    </row>
    <row r="19" spans="1:23" x14ac:dyDescent="0.3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spans="1:23" ht="45" customHeight="1" x14ac:dyDescent="0.35">
      <c r="A20" s="114" t="s">
        <v>47</v>
      </c>
      <c r="B20" s="115"/>
      <c r="C20" s="115"/>
      <c r="D20" s="115"/>
      <c r="E20" s="115"/>
      <c r="F20" s="115"/>
      <c r="G20" s="115"/>
      <c r="H20" s="115"/>
      <c r="I20" s="115"/>
      <c r="J20" s="116"/>
      <c r="K20" s="115"/>
      <c r="L20" s="115"/>
      <c r="M20" s="115"/>
      <c r="N20" s="115"/>
      <c r="O20" s="115"/>
      <c r="P20" s="115"/>
      <c r="Q20" s="115"/>
      <c r="R20" s="115"/>
      <c r="S20" s="20"/>
      <c r="T20" s="20"/>
      <c r="U20" s="20"/>
      <c r="V20" s="20"/>
      <c r="W20" s="20"/>
    </row>
    <row r="28" spans="1:23" x14ac:dyDescent="0.35">
      <c r="C28"/>
    </row>
    <row r="29" spans="1:23" x14ac:dyDescent="0.35">
      <c r="B29"/>
    </row>
  </sheetData>
  <mergeCells count="2">
    <mergeCell ref="A20:I20"/>
    <mergeCell ref="J20:R2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6316B-79AC-4A05-8044-2853B061D4A3}">
  <sheetPr>
    <tabColor rgb="FF00B050"/>
  </sheetPr>
  <dimension ref="A1:T24"/>
  <sheetViews>
    <sheetView zoomScale="81" workbookViewId="0">
      <selection activeCell="E45" sqref="E45"/>
    </sheetView>
  </sheetViews>
  <sheetFormatPr defaultRowHeight="14.5" x14ac:dyDescent="0.35"/>
  <cols>
    <col min="1" max="1" width="42.81640625" customWidth="1"/>
    <col min="2" max="5" width="10.1796875" bestFit="1" customWidth="1"/>
  </cols>
  <sheetData>
    <row r="1" spans="1:20" ht="18" x14ac:dyDescent="0.4">
      <c r="A1" s="26" t="s">
        <v>69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20" x14ac:dyDescent="0.35">
      <c r="A2" s="8" t="s">
        <v>70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20" x14ac:dyDescent="0.3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20" x14ac:dyDescent="0.35">
      <c r="A4" s="18" t="s">
        <v>71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20" x14ac:dyDescent="0.35">
      <c r="A5" s="30" t="s">
        <v>56</v>
      </c>
      <c r="B5" s="38" t="s">
        <v>39</v>
      </c>
      <c r="C5" s="38" t="s">
        <v>40</v>
      </c>
      <c r="D5" s="38" t="s">
        <v>41</v>
      </c>
      <c r="E5" s="38" t="s">
        <v>42</v>
      </c>
      <c r="F5" s="38" t="s">
        <v>43</v>
      </c>
      <c r="G5" s="38" t="s">
        <v>44</v>
      </c>
      <c r="H5" s="38" t="s">
        <v>46</v>
      </c>
      <c r="I5" s="38" t="s">
        <v>45</v>
      </c>
      <c r="J5" s="38" t="s">
        <v>48</v>
      </c>
      <c r="K5" s="38" t="s">
        <v>49</v>
      </c>
      <c r="L5" s="38" t="s">
        <v>11</v>
      </c>
      <c r="M5" s="38" t="s">
        <v>7</v>
      </c>
      <c r="N5" s="38" t="s">
        <v>8</v>
      </c>
      <c r="O5" s="38" t="s">
        <v>9</v>
      </c>
      <c r="P5" s="38" t="s">
        <v>10</v>
      </c>
      <c r="Q5" s="38" t="s">
        <v>24</v>
      </c>
      <c r="R5" s="38" t="s">
        <v>25</v>
      </c>
    </row>
    <row r="6" spans="1:20" x14ac:dyDescent="0.35">
      <c r="A6" s="13" t="s">
        <v>72</v>
      </c>
      <c r="B6" s="54">
        <f>Historical!B6*(1+Assumptions!B6)</f>
        <v>3350.0000000000005</v>
      </c>
      <c r="C6" s="54">
        <f>Historical!C6*(1+Assumptions!C6)</f>
        <v>3538</v>
      </c>
      <c r="D6" s="54">
        <f>Historical!D6*(1+Assumptions!D6)</f>
        <v>3602</v>
      </c>
      <c r="E6" s="54">
        <f>Historical!E6*(1+Assumptions!E6)</f>
        <v>3595.0000000000005</v>
      </c>
      <c r="F6" s="54">
        <f>Historical!F6*(1+Assumptions!F6)</f>
        <v>3609</v>
      </c>
      <c r="G6" s="54">
        <f>Historical!G6*(1+Assumptions!G6)</f>
        <v>3598.9999999999995</v>
      </c>
      <c r="H6" s="54">
        <f>Historical!H6*(1+Assumptions!H6)</f>
        <v>3735</v>
      </c>
      <c r="I6" s="54">
        <f>Historical!I6*(1+Assumptions!I6)</f>
        <v>3930.9999999999995</v>
      </c>
      <c r="J6" s="54">
        <f>Historical!J6*(1+Assumptions!J6)</f>
        <v>4224</v>
      </c>
      <c r="K6" s="54">
        <f>Historical!K6*(1+Assumptions!K6)</f>
        <v>4296</v>
      </c>
      <c r="L6" s="54">
        <f>Historical!L6*(1+Assumptions!L6)</f>
        <v>4322</v>
      </c>
      <c r="M6" s="54">
        <f>Historical!M6*(1+Assumptions!M6)</f>
        <v>4517</v>
      </c>
      <c r="N6" s="54">
        <f>Historical!N6*(1+Assumptions!N6)</f>
        <v>4617</v>
      </c>
      <c r="O6" s="54">
        <f>Historical!O6*(1+Assumptions!O6)</f>
        <v>4929</v>
      </c>
      <c r="P6" s="54">
        <f>Historical!P6*(1+Assumptions!P6)</f>
        <v>5072</v>
      </c>
      <c r="Q6" s="54">
        <f>Historical!Q6*(1+Assumptions!Q6)</f>
        <v>5339</v>
      </c>
      <c r="R6" s="54">
        <f>Historical!R6*(1+Assumptions!R6)</f>
        <v>5245</v>
      </c>
    </row>
    <row r="7" spans="1:20" x14ac:dyDescent="0.35">
      <c r="A7" s="13" t="s">
        <v>75</v>
      </c>
      <c r="B7" s="54">
        <f>Historical!B7*(1+Assumptions!B7)</f>
        <v>2562.0000000000005</v>
      </c>
      <c r="C7" s="54">
        <f>Historical!C7*(1+Assumptions!C7)</f>
        <v>2457</v>
      </c>
      <c r="D7" s="54">
        <f>Historical!D7*(1+Assumptions!D7)</f>
        <v>2376</v>
      </c>
      <c r="E7" s="54">
        <f>Historical!E7*(1+Assumptions!E7)</f>
        <v>2350</v>
      </c>
      <c r="F7" s="54">
        <f>Historical!F7*(1+Assumptions!F7)</f>
        <v>2518</v>
      </c>
      <c r="G7" s="54">
        <f>Historical!G7*(1+Assumptions!G7)</f>
        <v>2562</v>
      </c>
      <c r="H7" s="54">
        <f>Historical!H7*(1+Assumptions!H7)</f>
        <v>2693</v>
      </c>
      <c r="I7" s="54">
        <f>Historical!I7*(1+Assumptions!I7)</f>
        <v>2784</v>
      </c>
      <c r="J7" s="54">
        <f>Historical!J7*(1+Assumptions!J7)</f>
        <v>2958</v>
      </c>
      <c r="K7" s="54">
        <f>Historical!K7*(1+Assumptions!K7)</f>
        <v>3008</v>
      </c>
      <c r="L7" s="54">
        <f>Historical!L7*(1+Assumptions!L7)</f>
        <v>3133</v>
      </c>
      <c r="M7" s="54">
        <f>Historical!M7*(1+Assumptions!M7)</f>
        <v>3288.0000000000005</v>
      </c>
      <c r="N7" s="54">
        <f>Historical!N7*(1+Assumptions!N7)</f>
        <v>3405</v>
      </c>
      <c r="O7" s="54">
        <f>Historical!O7*(1+Assumptions!O7)</f>
        <v>3538</v>
      </c>
      <c r="P7" s="54">
        <f>Historical!P7*(1+Assumptions!P7)</f>
        <v>3699</v>
      </c>
      <c r="Q7" s="54">
        <f>Historical!Q7*(1+Assumptions!Q7)</f>
        <v>3872.9999999999995</v>
      </c>
      <c r="R7" s="54">
        <f>Historical!R7*(1+Assumptions!R7)</f>
        <v>3998.0000000000005</v>
      </c>
    </row>
    <row r="8" spans="1:20" x14ac:dyDescent="0.35">
      <c r="A8" s="13" t="s">
        <v>74</v>
      </c>
      <c r="B8" s="54">
        <f>Historical!B8*(1+Assumptions!B8)</f>
        <v>999</v>
      </c>
      <c r="C8" s="54">
        <f>Historical!C8*(1+Assumptions!C8)</f>
        <v>1030</v>
      </c>
      <c r="D8" s="54">
        <f>Historical!D8*(1+Assumptions!D8)</f>
        <v>1024</v>
      </c>
      <c r="E8" s="54">
        <f>Historical!E8*(1+Assumptions!E8)</f>
        <v>1017</v>
      </c>
      <c r="F8" s="54">
        <f>Historical!F8*(1+Assumptions!F8)</f>
        <v>1070</v>
      </c>
      <c r="G8" s="54">
        <f>Historical!G8*(1+Assumptions!G8)</f>
        <v>1077</v>
      </c>
      <c r="H8" s="54">
        <f>Historical!H8*(1+Assumptions!H8)</f>
        <v>1143</v>
      </c>
      <c r="I8" s="54">
        <f>Historical!I8*(1+Assumptions!I8)</f>
        <v>1156</v>
      </c>
      <c r="J8" s="54">
        <f>Historical!J8*(1+Assumptions!J8)</f>
        <v>1165</v>
      </c>
      <c r="K8" s="54">
        <f>Historical!K8*(1+Assumptions!K8)</f>
        <v>1204</v>
      </c>
      <c r="L8" s="54">
        <f>Historical!L8*(1+Assumptions!L8)</f>
        <v>1241</v>
      </c>
      <c r="M8" s="54">
        <f>Historical!M8*(1+Assumptions!M8)</f>
        <v>1230</v>
      </c>
      <c r="N8" s="54">
        <f>Historical!N8*(1+Assumptions!N8)</f>
        <v>1262</v>
      </c>
      <c r="O8" s="54">
        <f>Historical!O8*(1+Assumptions!O8)</f>
        <v>1307</v>
      </c>
      <c r="P8" s="54">
        <f>Historical!P8*(1+Assumptions!P8)</f>
        <v>1371</v>
      </c>
      <c r="Q8" s="54">
        <f>Historical!Q8*(1+Assumptions!Q8)</f>
        <v>1418</v>
      </c>
      <c r="R8" s="54">
        <f>Historical!R8*(1+Assumptions!R8)</f>
        <v>1497</v>
      </c>
    </row>
    <row r="9" spans="1:20" x14ac:dyDescent="0.35">
      <c r="A9" s="13" t="s">
        <v>73</v>
      </c>
      <c r="B9" s="54">
        <f>Historical!B9*(1+Assumptions!B9)</f>
        <v>917</v>
      </c>
      <c r="C9" s="54">
        <f>Historical!C9*(1+Assumptions!C9)</f>
        <v>908.00000000000011</v>
      </c>
      <c r="D9" s="54">
        <f>Historical!D9*(1+Assumptions!D9)</f>
        <v>889</v>
      </c>
      <c r="E9" s="54">
        <f>Historical!E9*(1+Assumptions!E9)</f>
        <v>857</v>
      </c>
      <c r="F9" s="54">
        <f>Historical!F9*(1+Assumptions!F9)</f>
        <v>934</v>
      </c>
      <c r="G9" s="54">
        <f>Historical!G9*(1+Assumptions!G9)</f>
        <v>918.99999999999989</v>
      </c>
      <c r="H9" s="54">
        <f>Historical!H9*(1+Assumptions!H9)</f>
        <v>948</v>
      </c>
      <c r="I9" s="54">
        <f>Historical!I9*(1+Assumptions!I9)</f>
        <v>963.00000000000011</v>
      </c>
      <c r="J9" s="54">
        <f>Historical!J9*(1+Assumptions!J9)</f>
        <v>1023</v>
      </c>
      <c r="K9" s="54">
        <f>Historical!K9*(1+Assumptions!K9)</f>
        <v>1052</v>
      </c>
      <c r="L9" s="54">
        <f>Historical!L9*(1+Assumptions!L9)</f>
        <v>1128</v>
      </c>
      <c r="M9" s="54">
        <f>Historical!M9*(1+Assumptions!M9)</f>
        <v>1212</v>
      </c>
      <c r="N9" s="54">
        <f>Historical!N9*(1+Assumptions!N9)</f>
        <v>1259</v>
      </c>
      <c r="O9" s="54">
        <f>Historical!O9*(1+Assumptions!O9)</f>
        <v>1305</v>
      </c>
      <c r="P9" s="54">
        <f>Historical!P9*(1+Assumptions!P9)</f>
        <v>1369</v>
      </c>
      <c r="Q9" s="54">
        <f>Historical!Q9*(1+Assumptions!Q9)</f>
        <v>1421</v>
      </c>
      <c r="R9" s="54">
        <f>Historical!R9*(1+Assumptions!R9)</f>
        <v>1509</v>
      </c>
    </row>
    <row r="10" spans="1:20" x14ac:dyDescent="0.35">
      <c r="A10" s="1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</row>
    <row r="11" spans="1:20" x14ac:dyDescent="0.35">
      <c r="A11" s="14" t="s">
        <v>76</v>
      </c>
      <c r="B11" s="48">
        <f>SUM(B6:B9)</f>
        <v>7828.0000000000009</v>
      </c>
      <c r="C11" s="48">
        <f t="shared" ref="C11:R11" si="0">SUM(C6:C9)</f>
        <v>7933</v>
      </c>
      <c r="D11" s="48">
        <f t="shared" si="0"/>
        <v>7891</v>
      </c>
      <c r="E11" s="48">
        <f t="shared" si="0"/>
        <v>7819</v>
      </c>
      <c r="F11" s="48">
        <f t="shared" si="0"/>
        <v>8131</v>
      </c>
      <c r="G11" s="48">
        <f t="shared" si="0"/>
        <v>8157</v>
      </c>
      <c r="H11" s="48">
        <f t="shared" si="0"/>
        <v>8519</v>
      </c>
      <c r="I11" s="48">
        <f t="shared" si="0"/>
        <v>8834</v>
      </c>
      <c r="J11" s="48">
        <f t="shared" si="0"/>
        <v>9370</v>
      </c>
      <c r="K11" s="48">
        <f t="shared" si="0"/>
        <v>9560</v>
      </c>
      <c r="L11" s="48">
        <f t="shared" si="0"/>
        <v>9824</v>
      </c>
      <c r="M11" s="48">
        <f t="shared" si="0"/>
        <v>10247</v>
      </c>
      <c r="N11" s="48">
        <f t="shared" si="0"/>
        <v>10543</v>
      </c>
      <c r="O11" s="48">
        <f t="shared" si="0"/>
        <v>11079</v>
      </c>
      <c r="P11" s="48">
        <f t="shared" si="0"/>
        <v>11511</v>
      </c>
      <c r="Q11" s="48">
        <f t="shared" si="0"/>
        <v>12051</v>
      </c>
      <c r="R11" s="48">
        <f t="shared" si="0"/>
        <v>12249</v>
      </c>
    </row>
    <row r="12" spans="1:20" x14ac:dyDescent="0.35">
      <c r="A12" s="13" t="s">
        <v>77</v>
      </c>
      <c r="B12" s="16">
        <v>7868</v>
      </c>
      <c r="C12" s="16">
        <v>7970</v>
      </c>
      <c r="D12" s="16">
        <v>7926</v>
      </c>
      <c r="E12" s="16">
        <v>7852</v>
      </c>
      <c r="F12" s="16">
        <v>8162</v>
      </c>
      <c r="G12" s="16">
        <v>8187</v>
      </c>
      <c r="H12" s="16">
        <v>8542</v>
      </c>
      <c r="I12" s="16">
        <v>8833</v>
      </c>
      <c r="J12" s="16">
        <v>9370</v>
      </c>
      <c r="K12" s="16">
        <v>9559</v>
      </c>
      <c r="L12" s="16">
        <v>9825</v>
      </c>
      <c r="M12" s="16">
        <v>10247</v>
      </c>
      <c r="N12" s="16">
        <v>10543</v>
      </c>
      <c r="O12" s="16">
        <v>11079</v>
      </c>
      <c r="P12" s="16">
        <v>11510</v>
      </c>
      <c r="Q12" s="16">
        <v>12051</v>
      </c>
      <c r="R12" s="16">
        <v>12249</v>
      </c>
    </row>
    <row r="13" spans="1:20" x14ac:dyDescent="0.35">
      <c r="A13" s="35" t="s">
        <v>78</v>
      </c>
      <c r="B13" s="55">
        <f t="shared" ref="B13:R13" si="1">B11-B12</f>
        <v>-39.999999999999091</v>
      </c>
      <c r="C13" s="55">
        <f t="shared" si="1"/>
        <v>-37</v>
      </c>
      <c r="D13" s="55">
        <f t="shared" si="1"/>
        <v>-35</v>
      </c>
      <c r="E13" s="55">
        <f t="shared" si="1"/>
        <v>-33</v>
      </c>
      <c r="F13" s="55">
        <f t="shared" si="1"/>
        <v>-31</v>
      </c>
      <c r="G13" s="55">
        <f t="shared" si="1"/>
        <v>-30</v>
      </c>
      <c r="H13" s="55">
        <f t="shared" si="1"/>
        <v>-23</v>
      </c>
      <c r="I13" s="55">
        <f t="shared" si="1"/>
        <v>1</v>
      </c>
      <c r="J13" s="55">
        <f t="shared" si="1"/>
        <v>0</v>
      </c>
      <c r="K13" s="55">
        <f t="shared" si="1"/>
        <v>1</v>
      </c>
      <c r="L13" s="55">
        <f t="shared" si="1"/>
        <v>-1</v>
      </c>
      <c r="M13" s="55">
        <f t="shared" si="1"/>
        <v>0</v>
      </c>
      <c r="N13" s="55">
        <f t="shared" si="1"/>
        <v>0</v>
      </c>
      <c r="O13" s="55">
        <f t="shared" si="1"/>
        <v>0</v>
      </c>
      <c r="P13" s="55">
        <f t="shared" si="1"/>
        <v>1</v>
      </c>
      <c r="Q13" s="55">
        <f t="shared" si="1"/>
        <v>0</v>
      </c>
      <c r="R13" s="55">
        <f t="shared" si="1"/>
        <v>0</v>
      </c>
    </row>
    <row r="14" spans="1:20" x14ac:dyDescent="0.35"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1:20" x14ac:dyDescent="0.35">
      <c r="A16" s="52" t="s">
        <v>79</v>
      </c>
      <c r="B16" s="33"/>
      <c r="C16" s="33"/>
      <c r="D16" s="33"/>
      <c r="E16" s="3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1:18" x14ac:dyDescent="0.35">
      <c r="A17" s="40" t="s">
        <v>56</v>
      </c>
      <c r="B17" s="40" t="s">
        <v>30</v>
      </c>
      <c r="C17" s="40" t="s">
        <v>31</v>
      </c>
      <c r="D17" s="40" t="s">
        <v>32</v>
      </c>
      <c r="E17" s="40" t="s">
        <v>33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 x14ac:dyDescent="0.35">
      <c r="A18" s="42" t="s">
        <v>26</v>
      </c>
      <c r="B18" s="54" cm="1">
        <f t="array" ref="B18:B21">Historical!S6:S9*(1+Scenario!B33:B36)</f>
        <v>5520.4800000000005</v>
      </c>
      <c r="C18" s="54" cm="1">
        <f t="array" ref="C18:C21">Historical!T6:T9*(1+Scenario!C33:C36)</f>
        <v>5629.92</v>
      </c>
      <c r="D18" s="54" cm="1">
        <f t="array" ref="D18:D21">Historical!U6:U9*(1+Scenario!D33:D36)</f>
        <v>5872.9000000000005</v>
      </c>
      <c r="E18" s="54" cm="1">
        <f t="array" ref="E18:E21">Historical!V6:V9*(1+Scenario!E33:E36)</f>
        <v>5769.5000000000009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x14ac:dyDescent="0.35">
      <c r="A19" s="42" t="s">
        <v>27</v>
      </c>
      <c r="B19" s="54">
        <v>4104.08</v>
      </c>
      <c r="C19" s="54">
        <v>4253.8499999999995</v>
      </c>
      <c r="D19" s="54">
        <v>4453.95</v>
      </c>
      <c r="E19" s="54">
        <v>4557.72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x14ac:dyDescent="0.35">
      <c r="A20" s="42" t="s">
        <v>28</v>
      </c>
      <c r="B20" s="54">
        <v>1529.1899999999998</v>
      </c>
      <c r="C20" s="54">
        <v>1590.36</v>
      </c>
      <c r="D20" s="54">
        <v>1630.6999999999998</v>
      </c>
      <c r="E20" s="54">
        <v>1721.55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35">
      <c r="A21" s="42" t="s">
        <v>29</v>
      </c>
      <c r="B21" s="54">
        <v>1552.9499999999998</v>
      </c>
      <c r="C21" s="54">
        <v>1615.4199999999998</v>
      </c>
      <c r="D21" s="54">
        <v>1676.78</v>
      </c>
      <c r="E21" s="54">
        <v>1765.53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35">
      <c r="A22" s="49" t="s">
        <v>80</v>
      </c>
      <c r="B22" s="48">
        <f>SUM(_xlfn.ANCHORARRAY(B18))</f>
        <v>12706.7</v>
      </c>
      <c r="C22" s="48">
        <f t="shared" ref="C22:D22" si="2">SUM(_xlfn.ANCHORARRAY(C18))</f>
        <v>13089.550000000001</v>
      </c>
      <c r="D22" s="48">
        <f t="shared" si="2"/>
        <v>13634.33</v>
      </c>
      <c r="E22" s="48">
        <f>SUM(_xlfn.ANCHORARRAY(E18))</f>
        <v>13814.300000000001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4" spans="1:18" x14ac:dyDescent="0.35">
      <c r="A24" s="6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2CA64-2931-4520-8A5A-3D9FE4E95705}">
  <sheetPr>
    <tabColor rgb="FF00B050"/>
  </sheetPr>
  <dimension ref="A1:V23"/>
  <sheetViews>
    <sheetView zoomScale="106" workbookViewId="0">
      <selection activeCell="A16" sqref="A16"/>
    </sheetView>
  </sheetViews>
  <sheetFormatPr defaultColWidth="9.1796875" defaultRowHeight="12.5" x14ac:dyDescent="0.25"/>
  <cols>
    <col min="1" max="1" width="30.1796875" style="13" customWidth="1"/>
    <col min="2" max="2" width="9.54296875" style="13" bestFit="1" customWidth="1"/>
    <col min="3" max="5" width="9.26953125" style="13" bestFit="1" customWidth="1"/>
    <col min="6" max="16384" width="9.1796875" style="13"/>
  </cols>
  <sheetData>
    <row r="1" spans="1:22" ht="18" x14ac:dyDescent="0.4">
      <c r="A1" s="26" t="s">
        <v>83</v>
      </c>
    </row>
    <row r="2" spans="1:22" ht="13" x14ac:dyDescent="0.3">
      <c r="A2" s="8" t="s">
        <v>84</v>
      </c>
    </row>
    <row r="4" spans="1:22" ht="13" x14ac:dyDescent="0.3">
      <c r="A4" s="18" t="s">
        <v>85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 spans="1:22" ht="13" x14ac:dyDescent="0.3">
      <c r="A5" s="57" t="s">
        <v>86</v>
      </c>
      <c r="B5" s="38" t="s">
        <v>35</v>
      </c>
      <c r="C5" s="38" t="s">
        <v>36</v>
      </c>
      <c r="D5" s="38" t="s">
        <v>37</v>
      </c>
      <c r="E5" s="38" t="s">
        <v>38</v>
      </c>
      <c r="F5" s="38" t="s">
        <v>39</v>
      </c>
      <c r="G5" s="38" t="s">
        <v>40</v>
      </c>
      <c r="H5" s="38" t="s">
        <v>41</v>
      </c>
      <c r="I5" s="38" t="s">
        <v>42</v>
      </c>
      <c r="J5" s="38" t="s">
        <v>43</v>
      </c>
      <c r="K5" s="38" t="s">
        <v>44</v>
      </c>
      <c r="L5" s="38" t="s">
        <v>46</v>
      </c>
      <c r="M5" s="38" t="s">
        <v>45</v>
      </c>
      <c r="N5" s="38" t="s">
        <v>48</v>
      </c>
      <c r="O5" s="38" t="s">
        <v>49</v>
      </c>
      <c r="P5" s="38" t="s">
        <v>11</v>
      </c>
      <c r="Q5" s="38" t="s">
        <v>7</v>
      </c>
      <c r="R5" s="38" t="s">
        <v>8</v>
      </c>
      <c r="S5" s="38" t="s">
        <v>9</v>
      </c>
      <c r="T5" s="38" t="s">
        <v>10</v>
      </c>
      <c r="U5" s="38" t="s">
        <v>24</v>
      </c>
      <c r="V5" s="38" t="s">
        <v>25</v>
      </c>
    </row>
    <row r="6" spans="1:22" ht="13" x14ac:dyDescent="0.3">
      <c r="A6" s="42" t="s">
        <v>87</v>
      </c>
      <c r="B6" s="58" cm="1">
        <f t="array" ref="B6:V6">Historical!B11:V11</f>
        <v>7163</v>
      </c>
      <c r="C6" s="58">
        <v>7342</v>
      </c>
      <c r="D6" s="58">
        <v>7483</v>
      </c>
      <c r="E6" s="58">
        <v>7709</v>
      </c>
      <c r="F6" s="58">
        <v>7868</v>
      </c>
      <c r="G6" s="58">
        <v>7970</v>
      </c>
      <c r="H6" s="58">
        <v>7926</v>
      </c>
      <c r="I6" s="58">
        <v>7852</v>
      </c>
      <c r="J6" s="58">
        <v>8162</v>
      </c>
      <c r="K6" s="58">
        <v>8187</v>
      </c>
      <c r="L6" s="58">
        <v>8542</v>
      </c>
      <c r="M6" s="58">
        <v>8833</v>
      </c>
      <c r="N6" s="58">
        <v>9370</v>
      </c>
      <c r="O6" s="58">
        <v>9559</v>
      </c>
      <c r="P6" s="58">
        <v>9825</v>
      </c>
      <c r="Q6" s="58">
        <v>10247</v>
      </c>
      <c r="R6" s="58">
        <v>10543</v>
      </c>
      <c r="S6" s="58">
        <v>11079</v>
      </c>
      <c r="T6" s="58">
        <v>11510</v>
      </c>
      <c r="U6" s="58">
        <v>12051</v>
      </c>
      <c r="V6" s="58">
        <v>12249</v>
      </c>
    </row>
    <row r="7" spans="1:22" x14ac:dyDescent="0.25">
      <c r="A7" s="42" t="s">
        <v>88</v>
      </c>
      <c r="B7" s="59" cm="1">
        <f t="array" ref="B7:V7">B6:V6-B8:V8</f>
        <v>5203</v>
      </c>
      <c r="C7" s="59">
        <v>5494</v>
      </c>
      <c r="D7" s="59">
        <v>5728</v>
      </c>
      <c r="E7" s="59">
        <v>7077</v>
      </c>
      <c r="F7" s="59">
        <v>5896</v>
      </c>
      <c r="G7" s="59">
        <v>6392</v>
      </c>
      <c r="H7" s="59">
        <v>6393</v>
      </c>
      <c r="I7" s="59">
        <v>7302</v>
      </c>
      <c r="J7" s="59">
        <v>6448</v>
      </c>
      <c r="K7" s="59">
        <v>6360</v>
      </c>
      <c r="L7" s="59">
        <v>6626</v>
      </c>
      <c r="M7" s="59">
        <v>7337</v>
      </c>
      <c r="N7" s="59">
        <v>6737</v>
      </c>
      <c r="O7" s="59">
        <v>6956</v>
      </c>
      <c r="P7" s="59">
        <v>6916</v>
      </c>
      <c r="Q7" s="59">
        <v>7974</v>
      </c>
      <c r="R7" s="59">
        <v>7196</v>
      </c>
      <c r="S7" s="59">
        <v>7304</v>
      </c>
      <c r="T7" s="59">
        <v>8262</v>
      </c>
      <c r="U7" s="59">
        <v>9094</v>
      </c>
      <c r="V7" s="59">
        <v>8292</v>
      </c>
    </row>
    <row r="8" spans="1:22" ht="13" x14ac:dyDescent="0.3">
      <c r="A8" s="42" t="s">
        <v>5</v>
      </c>
      <c r="B8" s="58" cm="1">
        <f t="array" ref="B8:V8">Historical!B15:V15</f>
        <v>1960</v>
      </c>
      <c r="C8" s="58">
        <v>1848</v>
      </c>
      <c r="D8" s="58">
        <v>1755</v>
      </c>
      <c r="E8" s="58">
        <v>632</v>
      </c>
      <c r="F8" s="58">
        <v>1972</v>
      </c>
      <c r="G8" s="58">
        <v>1578</v>
      </c>
      <c r="H8" s="58">
        <v>1533</v>
      </c>
      <c r="I8" s="58">
        <v>550</v>
      </c>
      <c r="J8" s="58">
        <v>1714</v>
      </c>
      <c r="K8" s="58">
        <v>1827</v>
      </c>
      <c r="L8" s="58">
        <v>1916</v>
      </c>
      <c r="M8" s="58">
        <v>1496</v>
      </c>
      <c r="N8" s="58">
        <v>2633</v>
      </c>
      <c r="O8" s="58">
        <v>2603</v>
      </c>
      <c r="P8" s="58">
        <v>2909</v>
      </c>
      <c r="Q8" s="58">
        <v>2273</v>
      </c>
      <c r="R8" s="58">
        <v>3347</v>
      </c>
      <c r="S8" s="58">
        <v>3775</v>
      </c>
      <c r="T8" s="58">
        <v>3248</v>
      </c>
      <c r="U8" s="58">
        <v>2957</v>
      </c>
      <c r="V8" s="58">
        <v>3957</v>
      </c>
    </row>
    <row r="9" spans="1:22" x14ac:dyDescent="0.25">
      <c r="A9" s="42" t="s">
        <v>19</v>
      </c>
      <c r="B9" s="39" cm="1">
        <f t="array" ref="B9:V9">B8:V8/B6:V6</f>
        <v>0.27362836800223372</v>
      </c>
      <c r="C9" s="39">
        <v>0.25170253336965404</v>
      </c>
      <c r="D9" s="39">
        <v>0.23453160497126821</v>
      </c>
      <c r="E9" s="39">
        <v>8.1982098845505252E-2</v>
      </c>
      <c r="F9" s="39">
        <v>0.25063548551093034</v>
      </c>
      <c r="G9" s="39">
        <v>0.19799247176913426</v>
      </c>
      <c r="H9" s="39">
        <v>0.19341408024224072</v>
      </c>
      <c r="I9" s="39">
        <v>7.0045848191543553E-2</v>
      </c>
      <c r="J9" s="39">
        <v>0.20999754962019113</v>
      </c>
      <c r="K9" s="39">
        <v>0.22315866617808722</v>
      </c>
      <c r="L9" s="39">
        <v>0.2243034418169047</v>
      </c>
      <c r="M9" s="39">
        <v>0.16936488169364883</v>
      </c>
      <c r="N9" s="39">
        <v>0.28100320170757737</v>
      </c>
      <c r="O9" s="39">
        <v>0.27230881891411235</v>
      </c>
      <c r="P9" s="39">
        <v>0.29608142493638678</v>
      </c>
      <c r="Q9" s="39">
        <v>0.22182102078657168</v>
      </c>
      <c r="R9" s="39">
        <v>0.31746182301052833</v>
      </c>
      <c r="S9" s="39">
        <v>0.34073472335048288</v>
      </c>
      <c r="T9" s="39">
        <v>0.28218940052128583</v>
      </c>
      <c r="U9" s="39">
        <v>0.24537382789809975</v>
      </c>
      <c r="V9" s="39">
        <v>0.32304677932892478</v>
      </c>
    </row>
    <row r="10" spans="1:22" x14ac:dyDescent="0.25">
      <c r="A10" s="42" t="s">
        <v>89</v>
      </c>
      <c r="B10" s="59" cm="1">
        <f t="array" ref="B10:V10">B11:V11-B8:V8</f>
        <v>-253</v>
      </c>
      <c r="C10" s="59">
        <v>-495</v>
      </c>
      <c r="D10" s="59">
        <v>-306</v>
      </c>
      <c r="E10" s="59">
        <v>-25</v>
      </c>
      <c r="F10" s="59">
        <v>-375</v>
      </c>
      <c r="G10" s="59">
        <v>-137</v>
      </c>
      <c r="H10" s="59">
        <v>-135</v>
      </c>
      <c r="I10" s="59">
        <v>-495</v>
      </c>
      <c r="J10" s="59">
        <v>-409</v>
      </c>
      <c r="K10" s="59">
        <v>-339</v>
      </c>
      <c r="L10" s="59">
        <v>-239</v>
      </c>
      <c r="M10" s="59">
        <v>-558</v>
      </c>
      <c r="N10" s="59">
        <v>-301</v>
      </c>
      <c r="O10" s="59">
        <v>-456</v>
      </c>
      <c r="P10" s="59">
        <v>-545</v>
      </c>
      <c r="Q10" s="59">
        <v>-404</v>
      </c>
      <c r="R10" s="59">
        <v>-457</v>
      </c>
      <c r="S10" s="59">
        <v>-650</v>
      </c>
      <c r="T10" s="59">
        <v>-701</v>
      </c>
      <c r="U10" s="59">
        <v>-538</v>
      </c>
      <c r="V10" s="59">
        <v>1326</v>
      </c>
    </row>
    <row r="11" spans="1:22" ht="13" x14ac:dyDescent="0.3">
      <c r="A11" s="42" t="s">
        <v>6</v>
      </c>
      <c r="B11" s="58" cm="1">
        <f t="array" ref="B11:V11">Historical!B17:V17</f>
        <v>1707</v>
      </c>
      <c r="C11" s="58">
        <v>1353</v>
      </c>
      <c r="D11" s="58">
        <v>1449</v>
      </c>
      <c r="E11" s="58">
        <v>607</v>
      </c>
      <c r="F11" s="58">
        <v>1597</v>
      </c>
      <c r="G11" s="58">
        <v>1441</v>
      </c>
      <c r="H11" s="58">
        <v>1398</v>
      </c>
      <c r="I11" s="58">
        <v>55</v>
      </c>
      <c r="J11" s="58">
        <v>1305</v>
      </c>
      <c r="K11" s="58">
        <v>1488</v>
      </c>
      <c r="L11" s="58">
        <v>1677</v>
      </c>
      <c r="M11" s="58">
        <v>938</v>
      </c>
      <c r="N11" s="58">
        <v>2332</v>
      </c>
      <c r="O11" s="58">
        <v>2147</v>
      </c>
      <c r="P11" s="58">
        <v>2364</v>
      </c>
      <c r="Q11" s="58">
        <v>1869</v>
      </c>
      <c r="R11" s="58">
        <v>2890</v>
      </c>
      <c r="S11" s="58">
        <v>3125</v>
      </c>
      <c r="T11" s="58">
        <v>2547</v>
      </c>
      <c r="U11" s="58">
        <v>2419</v>
      </c>
      <c r="V11" s="58">
        <v>5283</v>
      </c>
    </row>
    <row r="12" spans="1:22" x14ac:dyDescent="0.25">
      <c r="A12" s="42" t="s">
        <v>90</v>
      </c>
      <c r="B12" s="39" cm="1">
        <f t="array" ref="B12:V12">B11:V11/B6:V6</f>
        <v>0.23830797152031272</v>
      </c>
      <c r="C12" s="39">
        <v>0.18428221193135386</v>
      </c>
      <c r="D12" s="39">
        <v>0.19363891487371376</v>
      </c>
      <c r="E12" s="39">
        <v>7.8739136074717858E-2</v>
      </c>
      <c r="F12" s="39">
        <v>0.20297407219115404</v>
      </c>
      <c r="G12" s="39">
        <v>0.1808030112923463</v>
      </c>
      <c r="H12" s="39">
        <v>0.17638152914458743</v>
      </c>
      <c r="I12" s="39">
        <v>7.0045848191543558E-3</v>
      </c>
      <c r="J12" s="39">
        <v>0.15988728252879197</v>
      </c>
      <c r="K12" s="39">
        <v>0.18175155734701356</v>
      </c>
      <c r="L12" s="39">
        <v>0.19632404589089206</v>
      </c>
      <c r="M12" s="39">
        <v>0.10619268651647232</v>
      </c>
      <c r="N12" s="39">
        <v>0.24887940234791889</v>
      </c>
      <c r="O12" s="39">
        <v>0.22460508421382991</v>
      </c>
      <c r="P12" s="39">
        <v>0.24061068702290075</v>
      </c>
      <c r="Q12" s="39">
        <v>0.1823948472723724</v>
      </c>
      <c r="R12" s="39">
        <v>0.27411552688987956</v>
      </c>
      <c r="S12" s="39">
        <v>0.28206516833649248</v>
      </c>
      <c r="T12" s="39">
        <v>0.2212858384013901</v>
      </c>
      <c r="U12" s="39">
        <v>0.20073022985644345</v>
      </c>
      <c r="V12" s="39">
        <v>0.43130051432770022</v>
      </c>
    </row>
    <row r="16" spans="1:22" ht="13" x14ac:dyDescent="0.3">
      <c r="A16" s="52" t="s">
        <v>79</v>
      </c>
      <c r="B16" s="52"/>
      <c r="C16" s="52"/>
      <c r="D16" s="52"/>
      <c r="E16" s="52"/>
    </row>
    <row r="17" spans="1:7" ht="13" x14ac:dyDescent="0.3">
      <c r="A17" s="57" t="s">
        <v>0</v>
      </c>
      <c r="B17" s="57" t="s">
        <v>30</v>
      </c>
      <c r="C17" s="57" t="s">
        <v>31</v>
      </c>
      <c r="D17" s="57" t="s">
        <v>32</v>
      </c>
      <c r="E17" s="57" t="s">
        <v>33</v>
      </c>
    </row>
    <row r="18" spans="1:7" ht="13" x14ac:dyDescent="0.3">
      <c r="A18" s="42" t="s">
        <v>87</v>
      </c>
      <c r="B18" s="58" cm="1">
        <f t="array" ref="B18:E18">'Revenue Build'!B22:E22</f>
        <v>12706.7</v>
      </c>
      <c r="C18" s="58">
        <v>13089.550000000001</v>
      </c>
      <c r="D18" s="58">
        <v>13634.33</v>
      </c>
      <c r="E18" s="58">
        <v>13814.300000000001</v>
      </c>
    </row>
    <row r="19" spans="1:7" ht="13" x14ac:dyDescent="0.3">
      <c r="A19" s="42" t="s">
        <v>91</v>
      </c>
      <c r="B19" s="60">
        <f>Scenario!B45</f>
        <v>0.3</v>
      </c>
      <c r="C19" s="61">
        <f>Scenario!C45</f>
        <v>0.28000000000000003</v>
      </c>
      <c r="D19" s="61">
        <f>Scenario!D45</f>
        <v>0.25</v>
      </c>
      <c r="E19" s="61">
        <f>Scenario!E45</f>
        <v>0.31</v>
      </c>
      <c r="G19" s="8" t="s">
        <v>95</v>
      </c>
    </row>
    <row r="20" spans="1:7" ht="13" x14ac:dyDescent="0.3">
      <c r="A20" s="42" t="s">
        <v>92</v>
      </c>
      <c r="B20" s="58" cm="1">
        <f t="array" ref="B20:E20">B18:E18*B19:E19</f>
        <v>3812.01</v>
      </c>
      <c r="C20" s="58">
        <v>3665.0740000000005</v>
      </c>
      <c r="D20" s="58">
        <v>3408.5825</v>
      </c>
      <c r="E20" s="58">
        <v>4282.433</v>
      </c>
    </row>
    <row r="21" spans="1:7" x14ac:dyDescent="0.25">
      <c r="A21" s="42" t="s">
        <v>93</v>
      </c>
      <c r="B21" s="117"/>
      <c r="C21" s="117"/>
      <c r="D21" s="117"/>
      <c r="E21" s="117"/>
    </row>
    <row r="23" spans="1:7" ht="25.5" customHeight="1" x14ac:dyDescent="0.25">
      <c r="A23" s="56" t="s">
        <v>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52EC-3970-4D6E-B335-EA33A00D887C}">
  <sheetPr>
    <tabColor rgb="FF00B050"/>
  </sheetPr>
  <dimension ref="A1:F58"/>
  <sheetViews>
    <sheetView zoomScale="66" zoomScaleNormal="115" workbookViewId="0"/>
  </sheetViews>
  <sheetFormatPr defaultRowHeight="14.5" x14ac:dyDescent="0.35"/>
  <cols>
    <col min="1" max="1" width="40" customWidth="1"/>
    <col min="2" max="5" width="18.1796875" customWidth="1"/>
  </cols>
  <sheetData>
    <row r="1" spans="1:6" ht="18" x14ac:dyDescent="0.4">
      <c r="A1" s="26" t="s">
        <v>97</v>
      </c>
      <c r="B1" s="64"/>
      <c r="C1" s="64"/>
      <c r="D1" s="64"/>
      <c r="E1" s="64"/>
      <c r="F1" s="64"/>
    </row>
    <row r="2" spans="1:6" x14ac:dyDescent="0.35">
      <c r="A2" s="8" t="s">
        <v>98</v>
      </c>
      <c r="B2" s="64"/>
      <c r="C2" s="64"/>
      <c r="D2" s="64"/>
      <c r="E2" s="64"/>
      <c r="F2" s="64"/>
    </row>
    <row r="3" spans="1:6" x14ac:dyDescent="0.35">
      <c r="A3" s="64"/>
      <c r="B3" s="64"/>
      <c r="C3" s="64"/>
      <c r="D3" s="64"/>
      <c r="E3" s="64"/>
      <c r="F3" s="64"/>
    </row>
    <row r="4" spans="1:6" x14ac:dyDescent="0.35">
      <c r="A4" s="72" t="s">
        <v>99</v>
      </c>
      <c r="B4" s="81" t="s">
        <v>100</v>
      </c>
      <c r="C4" s="64"/>
      <c r="D4" s="64"/>
      <c r="E4" s="64"/>
      <c r="F4" s="64"/>
    </row>
    <row r="5" spans="1:6" x14ac:dyDescent="0.35">
      <c r="A5" s="64"/>
      <c r="B5" s="64"/>
      <c r="C5" s="64"/>
      <c r="D5" s="64"/>
      <c r="E5" s="64"/>
      <c r="F5" s="64"/>
    </row>
    <row r="6" spans="1:6" x14ac:dyDescent="0.35">
      <c r="A6" s="70" t="s">
        <v>145</v>
      </c>
      <c r="B6" s="82">
        <v>0.03</v>
      </c>
      <c r="C6" s="64"/>
      <c r="D6" s="64"/>
      <c r="E6" s="64"/>
      <c r="F6" s="64"/>
    </row>
    <row r="7" spans="1:6" x14ac:dyDescent="0.35">
      <c r="A7" s="70" t="s">
        <v>101</v>
      </c>
      <c r="B7" s="82">
        <v>0.02</v>
      </c>
      <c r="C7" s="64"/>
      <c r="D7" s="64"/>
      <c r="E7" s="64"/>
      <c r="F7" s="64"/>
    </row>
    <row r="8" spans="1:6" x14ac:dyDescent="0.35">
      <c r="A8" s="64"/>
      <c r="B8" s="64"/>
      <c r="C8" s="64"/>
      <c r="D8" s="64"/>
      <c r="E8" s="64"/>
      <c r="F8" s="64"/>
    </row>
    <row r="9" spans="1:6" x14ac:dyDescent="0.35">
      <c r="A9" s="51" t="s">
        <v>102</v>
      </c>
      <c r="B9" s="51"/>
      <c r="C9" s="51"/>
      <c r="D9" s="51"/>
      <c r="E9" s="51"/>
      <c r="F9" s="64"/>
    </row>
    <row r="10" spans="1:6" x14ac:dyDescent="0.35">
      <c r="A10" s="64"/>
      <c r="B10" s="64"/>
      <c r="C10" s="64"/>
      <c r="D10" s="64"/>
      <c r="E10" s="64"/>
      <c r="F10" s="64"/>
    </row>
    <row r="11" spans="1:6" x14ac:dyDescent="0.35">
      <c r="A11" s="79" t="s">
        <v>103</v>
      </c>
      <c r="B11" s="79"/>
      <c r="C11" s="79"/>
      <c r="D11" s="79"/>
      <c r="E11" s="79"/>
      <c r="F11" s="64"/>
    </row>
    <row r="12" spans="1:6" x14ac:dyDescent="0.35">
      <c r="A12" s="83" t="s">
        <v>56</v>
      </c>
      <c r="B12" s="80" t="s">
        <v>30</v>
      </c>
      <c r="C12" s="57" t="s">
        <v>31</v>
      </c>
      <c r="D12" s="57" t="s">
        <v>32</v>
      </c>
      <c r="E12" s="57" t="s">
        <v>33</v>
      </c>
      <c r="F12" s="64"/>
    </row>
    <row r="13" spans="1:6" x14ac:dyDescent="0.35">
      <c r="A13" s="70" t="s">
        <v>26</v>
      </c>
      <c r="B13" s="69" cm="1">
        <f t="array" ref="B13:E16">Assumptions!B14:E17</f>
        <v>0.12</v>
      </c>
      <c r="C13" s="69">
        <v>0.11</v>
      </c>
      <c r="D13" s="69">
        <v>0.1</v>
      </c>
      <c r="E13" s="69">
        <v>0.1</v>
      </c>
      <c r="F13" s="64"/>
    </row>
    <row r="14" spans="1:6" x14ac:dyDescent="0.35">
      <c r="A14" s="70" t="s">
        <v>27</v>
      </c>
      <c r="B14" s="69">
        <v>0.16</v>
      </c>
      <c r="C14" s="69">
        <v>0.15</v>
      </c>
      <c r="D14" s="69">
        <v>0.15</v>
      </c>
      <c r="E14" s="69">
        <v>0.14000000000000001</v>
      </c>
      <c r="F14" s="64"/>
    </row>
    <row r="15" spans="1:6" x14ac:dyDescent="0.35">
      <c r="A15" s="70" t="s">
        <v>28</v>
      </c>
      <c r="B15" s="69">
        <v>0.17</v>
      </c>
      <c r="C15" s="69">
        <v>0.16</v>
      </c>
      <c r="D15" s="69">
        <v>0.15</v>
      </c>
      <c r="E15" s="69">
        <v>0.15</v>
      </c>
      <c r="F15" s="64"/>
    </row>
    <row r="16" spans="1:6" x14ac:dyDescent="0.35">
      <c r="A16" s="70" t="s">
        <v>29</v>
      </c>
      <c r="B16" s="69">
        <v>0.19</v>
      </c>
      <c r="C16" s="69">
        <v>0.18</v>
      </c>
      <c r="D16" s="69">
        <v>0.18</v>
      </c>
      <c r="E16" s="69">
        <v>0.17</v>
      </c>
      <c r="F16" s="64"/>
    </row>
    <row r="17" spans="1:6" x14ac:dyDescent="0.35">
      <c r="A17" s="64"/>
      <c r="B17" s="64"/>
      <c r="C17" s="64"/>
      <c r="D17" s="64"/>
      <c r="E17" s="64"/>
      <c r="F17" s="64"/>
    </row>
    <row r="18" spans="1:6" x14ac:dyDescent="0.35">
      <c r="A18" s="79" t="s">
        <v>147</v>
      </c>
      <c r="B18" s="79"/>
      <c r="C18" s="79"/>
      <c r="D18" s="79"/>
      <c r="E18" s="79"/>
      <c r="F18" s="64"/>
    </row>
    <row r="19" spans="1:6" x14ac:dyDescent="0.35">
      <c r="A19" s="83" t="s">
        <v>56</v>
      </c>
      <c r="B19" s="80" t="s">
        <v>30</v>
      </c>
      <c r="C19" s="57" t="s">
        <v>31</v>
      </c>
      <c r="D19" s="57" t="s">
        <v>32</v>
      </c>
      <c r="E19" s="57" t="s">
        <v>33</v>
      </c>
      <c r="F19" s="64"/>
    </row>
    <row r="20" spans="1:6" x14ac:dyDescent="0.35">
      <c r="A20" s="70" t="s">
        <v>26</v>
      </c>
      <c r="B20" s="69" cm="1">
        <f t="array" ref="B20:E23">B13:E16+B6</f>
        <v>0.15</v>
      </c>
      <c r="C20" s="69">
        <v>0.14000000000000001</v>
      </c>
      <c r="D20" s="69">
        <v>0.13</v>
      </c>
      <c r="E20" s="69">
        <v>0.13</v>
      </c>
      <c r="F20" s="64"/>
    </row>
    <row r="21" spans="1:6" x14ac:dyDescent="0.35">
      <c r="A21" s="70" t="s">
        <v>27</v>
      </c>
      <c r="B21" s="69">
        <v>0.19</v>
      </c>
      <c r="C21" s="69">
        <v>0.18</v>
      </c>
      <c r="D21" s="69">
        <v>0.18</v>
      </c>
      <c r="E21" s="69">
        <v>0.17</v>
      </c>
      <c r="F21" s="64" t="s">
        <v>109</v>
      </c>
    </row>
    <row r="22" spans="1:6" x14ac:dyDescent="0.35">
      <c r="A22" s="70" t="s">
        <v>28</v>
      </c>
      <c r="B22" s="69">
        <v>0.2</v>
      </c>
      <c r="C22" s="69">
        <v>0.19</v>
      </c>
      <c r="D22" s="69">
        <v>0.18</v>
      </c>
      <c r="E22" s="69">
        <v>0.18</v>
      </c>
      <c r="F22" s="64"/>
    </row>
    <row r="23" spans="1:6" x14ac:dyDescent="0.35">
      <c r="A23" s="70" t="s">
        <v>29</v>
      </c>
      <c r="B23" s="69">
        <v>0.22</v>
      </c>
      <c r="C23" s="69">
        <v>0.21</v>
      </c>
      <c r="D23" s="69">
        <v>0.21</v>
      </c>
      <c r="E23" s="69">
        <v>0.2</v>
      </c>
      <c r="F23" s="64"/>
    </row>
    <row r="24" spans="1:6" x14ac:dyDescent="0.35">
      <c r="A24" s="64"/>
      <c r="B24" s="64"/>
      <c r="C24" s="64"/>
      <c r="D24" s="64"/>
      <c r="E24" s="64"/>
      <c r="F24" s="64"/>
    </row>
    <row r="25" spans="1:6" x14ac:dyDescent="0.35">
      <c r="A25" s="79" t="s">
        <v>104</v>
      </c>
      <c r="B25" s="79"/>
      <c r="C25" s="79"/>
      <c r="D25" s="79"/>
      <c r="E25" s="79"/>
      <c r="F25" s="64"/>
    </row>
    <row r="26" spans="1:6" x14ac:dyDescent="0.35">
      <c r="A26" s="83" t="s">
        <v>56</v>
      </c>
      <c r="B26" s="80" t="s">
        <v>30</v>
      </c>
      <c r="C26" s="57" t="s">
        <v>31</v>
      </c>
      <c r="D26" s="57" t="s">
        <v>32</v>
      </c>
      <c r="E26" s="57" t="s">
        <v>33</v>
      </c>
      <c r="F26" s="64"/>
    </row>
    <row r="27" spans="1:6" x14ac:dyDescent="0.35">
      <c r="A27" s="70" t="s">
        <v>26</v>
      </c>
      <c r="B27" s="69" cm="1">
        <f t="array" ref="B27:E30">B13:E16-B6</f>
        <v>0.09</v>
      </c>
      <c r="C27" s="69">
        <v>0.08</v>
      </c>
      <c r="D27" s="69">
        <v>7.0000000000000007E-2</v>
      </c>
      <c r="E27" s="69">
        <v>7.0000000000000007E-2</v>
      </c>
      <c r="F27" s="64"/>
    </row>
    <row r="28" spans="1:6" x14ac:dyDescent="0.35">
      <c r="A28" s="70" t="s">
        <v>27</v>
      </c>
      <c r="B28" s="69">
        <v>0.13</v>
      </c>
      <c r="C28" s="69">
        <v>0.12</v>
      </c>
      <c r="D28" s="69">
        <v>0.12</v>
      </c>
      <c r="E28" s="69">
        <v>0.11000000000000001</v>
      </c>
      <c r="F28" s="64"/>
    </row>
    <row r="29" spans="1:6" x14ac:dyDescent="0.35">
      <c r="A29" s="70" t="s">
        <v>28</v>
      </c>
      <c r="B29" s="69">
        <v>0.14000000000000001</v>
      </c>
      <c r="C29" s="69">
        <v>0.13</v>
      </c>
      <c r="D29" s="69">
        <v>0.12</v>
      </c>
      <c r="E29" s="69">
        <v>0.12</v>
      </c>
      <c r="F29" s="64"/>
    </row>
    <row r="30" spans="1:6" x14ac:dyDescent="0.35">
      <c r="A30" s="70" t="s">
        <v>29</v>
      </c>
      <c r="B30" s="69">
        <v>0.16</v>
      </c>
      <c r="C30" s="69">
        <v>0.15</v>
      </c>
      <c r="D30" s="69">
        <v>0.15</v>
      </c>
      <c r="E30" s="69">
        <v>0.14000000000000001</v>
      </c>
      <c r="F30" s="64"/>
    </row>
    <row r="31" spans="1:6" x14ac:dyDescent="0.35">
      <c r="A31" s="64"/>
      <c r="B31" s="64"/>
      <c r="C31" s="64"/>
      <c r="D31" s="64"/>
      <c r="E31" s="64"/>
      <c r="F31" s="64"/>
    </row>
    <row r="32" spans="1:6" x14ac:dyDescent="0.35">
      <c r="A32" s="84" t="s">
        <v>110</v>
      </c>
      <c r="B32" s="84"/>
      <c r="C32" s="84"/>
      <c r="D32" s="84"/>
      <c r="E32" s="84"/>
      <c r="F32" s="64"/>
    </row>
    <row r="33" spans="1:6" x14ac:dyDescent="0.35">
      <c r="A33" s="72" t="s">
        <v>26</v>
      </c>
      <c r="B33" s="65" cm="1">
        <f t="array" ref="B33:E36">IF($B$4="Base",_xlfn.ANCHORARRAY(B13), IF($B$4="Bull",_xlfn.ANCHORARRAY( B20),_xlfn.ANCHORARRAY( B27)))</f>
        <v>0.12</v>
      </c>
      <c r="C33" s="65">
        <v>0.11</v>
      </c>
      <c r="D33" s="65">
        <v>0.1</v>
      </c>
      <c r="E33" s="65">
        <v>0.1</v>
      </c>
      <c r="F33" s="64"/>
    </row>
    <row r="34" spans="1:6" x14ac:dyDescent="0.35">
      <c r="A34" s="72" t="s">
        <v>27</v>
      </c>
      <c r="B34" s="65">
        <v>0.16</v>
      </c>
      <c r="C34" s="65">
        <v>0.15</v>
      </c>
      <c r="D34" s="65">
        <v>0.15</v>
      </c>
      <c r="E34" s="65">
        <v>0.14000000000000001</v>
      </c>
      <c r="F34" s="64"/>
    </row>
    <row r="35" spans="1:6" x14ac:dyDescent="0.35">
      <c r="A35" s="72" t="s">
        <v>28</v>
      </c>
      <c r="B35" s="65">
        <v>0.17</v>
      </c>
      <c r="C35" s="65">
        <v>0.16</v>
      </c>
      <c r="D35" s="65">
        <v>0.15</v>
      </c>
      <c r="E35" s="65">
        <v>0.15</v>
      </c>
      <c r="F35" s="64"/>
    </row>
    <row r="36" spans="1:6" x14ac:dyDescent="0.35">
      <c r="A36" s="72" t="s">
        <v>29</v>
      </c>
      <c r="B36" s="65">
        <v>0.19</v>
      </c>
      <c r="C36" s="65">
        <v>0.18</v>
      </c>
      <c r="D36" s="65">
        <v>0.18</v>
      </c>
      <c r="E36" s="65">
        <v>0.17</v>
      </c>
      <c r="F36" s="64"/>
    </row>
    <row r="37" spans="1:6" x14ac:dyDescent="0.35">
      <c r="A37" s="64"/>
      <c r="B37" s="64"/>
      <c r="C37" s="64"/>
      <c r="D37" s="64"/>
      <c r="E37" s="64"/>
      <c r="F37" s="64"/>
    </row>
    <row r="38" spans="1:6" x14ac:dyDescent="0.35">
      <c r="A38" s="64"/>
      <c r="B38" s="64"/>
      <c r="C38" s="64"/>
      <c r="D38" s="64"/>
      <c r="E38" s="64"/>
      <c r="F38" s="64"/>
    </row>
    <row r="39" spans="1:6" x14ac:dyDescent="0.35">
      <c r="A39" s="64"/>
      <c r="B39" s="64"/>
      <c r="C39" s="64"/>
      <c r="D39" s="64"/>
      <c r="E39" s="64"/>
      <c r="F39" s="64"/>
    </row>
    <row r="40" spans="1:6" x14ac:dyDescent="0.35">
      <c r="A40" s="51" t="s">
        <v>107</v>
      </c>
      <c r="B40" s="51"/>
      <c r="C40" s="51"/>
      <c r="D40" s="51"/>
      <c r="E40" s="51"/>
      <c r="F40" s="64"/>
    </row>
    <row r="41" spans="1:6" x14ac:dyDescent="0.35">
      <c r="A41" s="83" t="s">
        <v>146</v>
      </c>
      <c r="B41" s="80" t="s">
        <v>30</v>
      </c>
      <c r="C41" s="57" t="s">
        <v>31</v>
      </c>
      <c r="D41" s="57" t="s">
        <v>32</v>
      </c>
      <c r="E41" s="57" t="s">
        <v>33</v>
      </c>
      <c r="F41" s="64"/>
    </row>
    <row r="42" spans="1:6" x14ac:dyDescent="0.35">
      <c r="A42" s="70" t="s">
        <v>100</v>
      </c>
      <c r="B42" s="75" cm="1">
        <f t="array" ref="B42:E42">Assumptions!B32:E32</f>
        <v>0.3</v>
      </c>
      <c r="C42" s="69">
        <v>0.28000000000000003</v>
      </c>
      <c r="D42" s="69">
        <v>0.25</v>
      </c>
      <c r="E42" s="69">
        <v>0.31</v>
      </c>
      <c r="F42" s="64"/>
    </row>
    <row r="43" spans="1:6" x14ac:dyDescent="0.35">
      <c r="A43" s="70" t="s">
        <v>105</v>
      </c>
      <c r="B43" s="69" cm="1">
        <f t="array" ref="B43:E43">B42:E42+B7</f>
        <v>0.32</v>
      </c>
      <c r="C43" s="69">
        <v>0.30000000000000004</v>
      </c>
      <c r="D43" s="69">
        <v>0.27</v>
      </c>
      <c r="E43" s="69">
        <v>0.33</v>
      </c>
      <c r="F43" s="64"/>
    </row>
    <row r="44" spans="1:6" x14ac:dyDescent="0.35">
      <c r="A44" s="70" t="s">
        <v>106</v>
      </c>
      <c r="B44" s="69" cm="1">
        <f t="array" ref="B44:E44">B42:E42-B7</f>
        <v>0.27999999999999997</v>
      </c>
      <c r="C44" s="69">
        <v>0.26</v>
      </c>
      <c r="D44" s="69">
        <v>0.23</v>
      </c>
      <c r="E44" s="69">
        <v>0.28999999999999998</v>
      </c>
      <c r="F44" s="64"/>
    </row>
    <row r="45" spans="1:6" x14ac:dyDescent="0.35">
      <c r="A45" s="72" t="s">
        <v>108</v>
      </c>
      <c r="B45" s="65" cm="1">
        <f t="array" ref="B45:E45">IF($B$4="Base",_xlfn.ANCHORARRAY( B42), IF($B$4="Bull",_xlfn.ANCHORARRAY( B43),_xlfn.ANCHORARRAY( B44)))</f>
        <v>0.3</v>
      </c>
      <c r="C45" s="65">
        <v>0.28000000000000003</v>
      </c>
      <c r="D45" s="65">
        <v>0.25</v>
      </c>
      <c r="E45" s="65">
        <v>0.31</v>
      </c>
      <c r="F45" s="64"/>
    </row>
    <row r="46" spans="1:6" x14ac:dyDescent="0.35">
      <c r="A46" s="64"/>
      <c r="B46" s="64"/>
      <c r="C46" s="64"/>
      <c r="D46" s="64"/>
      <c r="E46" s="64"/>
      <c r="F46" s="64"/>
    </row>
    <row r="47" spans="1:6" x14ac:dyDescent="0.35">
      <c r="A47" s="64"/>
      <c r="B47" s="64"/>
      <c r="C47" s="64"/>
      <c r="D47" s="64"/>
      <c r="E47" s="64"/>
      <c r="F47" s="64"/>
    </row>
    <row r="48" spans="1:6" x14ac:dyDescent="0.35">
      <c r="A48" s="51" t="s">
        <v>111</v>
      </c>
      <c r="B48" s="51"/>
      <c r="C48" s="51"/>
      <c r="D48" s="51"/>
      <c r="E48" s="51"/>
      <c r="F48" s="64"/>
    </row>
    <row r="49" spans="1:6" x14ac:dyDescent="0.35">
      <c r="A49" s="83" t="s">
        <v>112</v>
      </c>
      <c r="B49" s="80" t="s">
        <v>30</v>
      </c>
      <c r="C49" s="57" t="s">
        <v>31</v>
      </c>
      <c r="D49" s="57" t="s">
        <v>32</v>
      </c>
      <c r="E49" s="57" t="s">
        <v>33</v>
      </c>
      <c r="F49" s="64"/>
    </row>
    <row r="50" spans="1:6" x14ac:dyDescent="0.35">
      <c r="A50" s="70" t="s">
        <v>113</v>
      </c>
      <c r="B50" s="85" cm="1">
        <f t="array" ref="B50">SUMPRODUCT(Historical!S6:S9,(1+B20:B23))</f>
        <v>13039.07</v>
      </c>
      <c r="C50" s="85" cm="1">
        <f t="array" ref="C50">SUMPRODUCT(Historical!T6:T9,(1+C20:C23))</f>
        <v>13434.880000000001</v>
      </c>
      <c r="D50" s="85" cm="1">
        <f t="array" ref="D50">SUMPRODUCT(Historical!U6:U9,(1+D20:D23))</f>
        <v>13995.859999999999</v>
      </c>
      <c r="E50" s="85" cm="1">
        <f t="array" ref="E50">SUMPRODUCT(Historical!V6:V9,(1+E20:E23))</f>
        <v>14181.769999999997</v>
      </c>
      <c r="F50" s="64"/>
    </row>
    <row r="51" spans="1:6" x14ac:dyDescent="0.35">
      <c r="A51" s="72" t="s">
        <v>114</v>
      </c>
      <c r="B51" s="86" cm="1">
        <f t="array" ref="B51">SUMPRODUCT(Historical!S6:S9,(1+B13:B16))</f>
        <v>12706.7</v>
      </c>
      <c r="C51" s="86" cm="1">
        <f t="array" ref="C51">SUMPRODUCT(Historical!T6:T9,(1+C13:C16))</f>
        <v>13089.550000000001</v>
      </c>
      <c r="D51" s="86" cm="1">
        <f t="array" ref="D51">SUMPRODUCT(Historical!U6:U9,(1+D13:D16))</f>
        <v>13634.33</v>
      </c>
      <c r="E51" s="86" cm="1">
        <f t="array" ref="E51">SUMPRODUCT(Historical!V6:V9,(1+E13:E16))</f>
        <v>13814.300000000001</v>
      </c>
      <c r="F51" s="64"/>
    </row>
    <row r="52" spans="1:6" x14ac:dyDescent="0.35">
      <c r="A52" s="70" t="s">
        <v>115</v>
      </c>
      <c r="B52" s="85" cm="1">
        <f t="array" ref="B52">SUMPRODUCT(Historical!S6:S9,(1+B27:B30))</f>
        <v>12374.329999999998</v>
      </c>
      <c r="C52" s="85" cm="1">
        <f t="array" ref="C52">SUMPRODUCT(Historical!T6:T9,(1+C27:C30))</f>
        <v>12744.22</v>
      </c>
      <c r="D52" s="85" cm="1">
        <f t="array" ref="D52">SUMPRODUCT(Historical!U6:U9,(1+D27:D30))</f>
        <v>13272.800000000001</v>
      </c>
      <c r="E52" s="85" cm="1">
        <f t="array" ref="E52">SUMPRODUCT(Historical!V6:V9,(1+E27:E30))</f>
        <v>13446.83</v>
      </c>
      <c r="F52" s="64"/>
    </row>
    <row r="53" spans="1:6" x14ac:dyDescent="0.35">
      <c r="A53" s="64"/>
      <c r="B53" s="68"/>
      <c r="C53" s="68"/>
      <c r="D53" s="68"/>
      <c r="E53" s="68"/>
      <c r="F53" s="64"/>
    </row>
    <row r="54" spans="1:6" x14ac:dyDescent="0.35">
      <c r="A54" s="70" t="s">
        <v>116</v>
      </c>
      <c r="B54" s="63">
        <f>B50*B43</f>
        <v>4172.5024000000003</v>
      </c>
      <c r="C54" s="63">
        <f>C50*C43</f>
        <v>4030.4640000000009</v>
      </c>
      <c r="D54" s="63">
        <f>D50*D43</f>
        <v>3778.8822</v>
      </c>
      <c r="E54" s="63">
        <f>E50*E43</f>
        <v>4679.9840999999988</v>
      </c>
      <c r="F54" s="64"/>
    </row>
    <row r="55" spans="1:6" x14ac:dyDescent="0.35">
      <c r="A55" s="72" t="s">
        <v>117</v>
      </c>
      <c r="B55" s="73">
        <f>B51*B42</f>
        <v>3812.01</v>
      </c>
      <c r="C55" s="73">
        <f>C51*C42</f>
        <v>3665.0740000000005</v>
      </c>
      <c r="D55" s="73">
        <f>D51*D42</f>
        <v>3408.5825</v>
      </c>
      <c r="E55" s="73">
        <f>E51*E42</f>
        <v>4282.433</v>
      </c>
      <c r="F55" s="64"/>
    </row>
    <row r="56" spans="1:6" x14ac:dyDescent="0.35">
      <c r="A56" s="70" t="s">
        <v>118</v>
      </c>
      <c r="B56" s="63">
        <f>B52*B44</f>
        <v>3464.8123999999989</v>
      </c>
      <c r="C56" s="63">
        <f>C52*C44</f>
        <v>3313.4971999999998</v>
      </c>
      <c r="D56" s="63">
        <f>D52*D44</f>
        <v>3052.7440000000006</v>
      </c>
      <c r="E56" s="63">
        <f>E52*E44</f>
        <v>3899.5806999999995</v>
      </c>
      <c r="F56" s="64"/>
    </row>
    <row r="57" spans="1:6" x14ac:dyDescent="0.35">
      <c r="A57" s="64"/>
      <c r="B57" s="64"/>
      <c r="C57" s="64"/>
      <c r="D57" s="64"/>
      <c r="E57" s="64"/>
      <c r="F57" s="64"/>
    </row>
    <row r="58" spans="1:6" x14ac:dyDescent="0.35">
      <c r="A58" s="8" t="s">
        <v>119</v>
      </c>
      <c r="B58" s="64"/>
      <c r="C58" s="64"/>
      <c r="D58" s="64"/>
      <c r="E58" s="64"/>
      <c r="F58" s="64"/>
    </row>
  </sheetData>
  <dataValidations count="1">
    <dataValidation type="list" allowBlank="1" showInputMessage="1" showErrorMessage="1" sqref="B4" xr:uid="{FDFC42C5-E890-4BE0-8179-06EC58EF1859}">
      <formula1>"Base,Bull,Bear"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0B54-21D6-4DF9-8907-C8B33C604289}">
  <sheetPr>
    <tabColor rgb="FF00B050"/>
  </sheetPr>
  <dimension ref="A1:H34"/>
  <sheetViews>
    <sheetView tabSelected="1" zoomScale="92" workbookViewId="0">
      <selection activeCell="C10" sqref="C10"/>
    </sheetView>
  </sheetViews>
  <sheetFormatPr defaultRowHeight="14.5" x14ac:dyDescent="0.35"/>
  <cols>
    <col min="1" max="1" width="43.81640625" customWidth="1"/>
    <col min="2" max="8" width="18.1796875" customWidth="1"/>
  </cols>
  <sheetData>
    <row r="1" spans="1:8" ht="18" x14ac:dyDescent="0.4">
      <c r="A1" s="26" t="s">
        <v>120</v>
      </c>
      <c r="B1" s="64"/>
      <c r="C1" s="64"/>
      <c r="D1" s="64"/>
      <c r="E1" s="64"/>
      <c r="F1" s="64"/>
      <c r="G1" s="64"/>
      <c r="H1" s="64"/>
    </row>
    <row r="2" spans="1:8" x14ac:dyDescent="0.35">
      <c r="A2" s="8" t="s">
        <v>121</v>
      </c>
      <c r="B2" s="64"/>
      <c r="C2" s="64"/>
      <c r="D2" s="64"/>
      <c r="E2" s="64"/>
      <c r="F2" s="64"/>
      <c r="G2" s="64"/>
      <c r="H2" s="64"/>
    </row>
    <row r="3" spans="1:8" x14ac:dyDescent="0.35">
      <c r="A3" s="64"/>
      <c r="B3" s="64"/>
      <c r="C3" s="64"/>
      <c r="D3" s="64"/>
      <c r="E3" s="64"/>
      <c r="F3" s="64"/>
      <c r="G3" s="64"/>
      <c r="H3" s="64"/>
    </row>
    <row r="4" spans="1:8" x14ac:dyDescent="0.35">
      <c r="A4" s="51" t="s">
        <v>124</v>
      </c>
      <c r="B4" s="51"/>
      <c r="C4" s="51"/>
      <c r="D4" s="51"/>
      <c r="E4" s="51"/>
      <c r="F4" s="51"/>
      <c r="G4" s="51"/>
      <c r="H4" s="51"/>
    </row>
    <row r="5" spans="1:8" ht="30" customHeight="1" x14ac:dyDescent="0.35">
      <c r="A5" s="44" t="s">
        <v>56</v>
      </c>
      <c r="B5" s="44" t="s">
        <v>125</v>
      </c>
      <c r="C5" s="120" t="s">
        <v>126</v>
      </c>
      <c r="D5" s="44" t="s">
        <v>127</v>
      </c>
      <c r="E5" s="44" t="s">
        <v>128</v>
      </c>
      <c r="F5" s="44" t="s">
        <v>129</v>
      </c>
      <c r="G5" s="44" t="s">
        <v>130</v>
      </c>
      <c r="H5" s="44" t="s">
        <v>122</v>
      </c>
    </row>
    <row r="6" spans="1:8" x14ac:dyDescent="0.35">
      <c r="A6" s="70" t="s">
        <v>26</v>
      </c>
      <c r="B6" s="118">
        <f>Historical!S6*(1+F6)</f>
        <v>5520.4800000000005</v>
      </c>
      <c r="C6" s="71">
        <v>5432</v>
      </c>
      <c r="D6" s="119">
        <f>C6-B6</f>
        <v>-88.480000000000473</v>
      </c>
      <c r="E6" s="69">
        <f>D6/B6</f>
        <v>-1.6027591803611366E-2</v>
      </c>
      <c r="F6" s="69">
        <f>Scenario!B13</f>
        <v>0.12</v>
      </c>
      <c r="G6" s="69">
        <f>C6/Historical!S6-1</f>
        <v>0.10204909717995547</v>
      </c>
      <c r="H6" s="66">
        <f>(G6-F6)*100</f>
        <v>-1.7950902820044523</v>
      </c>
    </row>
    <row r="7" spans="1:8" x14ac:dyDescent="0.35">
      <c r="A7" s="70" t="s">
        <v>27</v>
      </c>
      <c r="B7" s="118">
        <f>Historical!S7*(1+F7)</f>
        <v>4104.08</v>
      </c>
      <c r="C7" s="71">
        <v>4034</v>
      </c>
      <c r="D7" s="119">
        <f t="shared" ref="D7:D9" si="0">C7-B7</f>
        <v>-70.079999999999927</v>
      </c>
      <c r="E7" s="69">
        <f t="shared" ref="E7:E9" si="1">D7/B7</f>
        <v>-1.7075690532348281E-2</v>
      </c>
      <c r="F7" s="69">
        <f>Scenario!B14</f>
        <v>0.16</v>
      </c>
      <c r="G7" s="69">
        <f>C7/Historical!S7-1</f>
        <v>0.14019219898247592</v>
      </c>
      <c r="H7" s="66">
        <f t="shared" ref="H7:H9" si="2">(G7-F7)*100</f>
        <v>-1.980780101752408</v>
      </c>
    </row>
    <row r="8" spans="1:8" x14ac:dyDescent="0.35">
      <c r="A8" s="70" t="s">
        <v>28</v>
      </c>
      <c r="B8" s="118">
        <f>Historical!S8*(1+F8)</f>
        <v>1529.1899999999998</v>
      </c>
      <c r="C8" s="71">
        <v>1584</v>
      </c>
      <c r="D8" s="119">
        <f t="shared" si="0"/>
        <v>54.810000000000173</v>
      </c>
      <c r="E8" s="69">
        <f t="shared" si="1"/>
        <v>3.584250485551186E-2</v>
      </c>
      <c r="F8" s="69">
        <f>Scenario!B15</f>
        <v>0.17</v>
      </c>
      <c r="G8" s="69">
        <f>C8/Historical!S8-1</f>
        <v>0.21193573068094884</v>
      </c>
      <c r="H8" s="66">
        <f t="shared" si="2"/>
        <v>4.1935730680948833</v>
      </c>
    </row>
    <row r="9" spans="1:8" x14ac:dyDescent="0.35">
      <c r="A9" s="70" t="s">
        <v>29</v>
      </c>
      <c r="B9" s="118">
        <f>Historical!S9*(1+F9)</f>
        <v>1552.9499999999998</v>
      </c>
      <c r="C9" s="71">
        <v>1510</v>
      </c>
      <c r="D9" s="119">
        <f t="shared" si="0"/>
        <v>-42.949999999999818</v>
      </c>
      <c r="E9" s="69">
        <f t="shared" si="1"/>
        <v>-2.7657039827425109E-2</v>
      </c>
      <c r="F9" s="69">
        <f>Scenario!B16</f>
        <v>0.19</v>
      </c>
      <c r="G9" s="69">
        <f>C9/Historical!S9-1</f>
        <v>0.15708812260536398</v>
      </c>
      <c r="H9" s="66">
        <f t="shared" si="2"/>
        <v>-3.2911877394636022</v>
      </c>
    </row>
    <row r="10" spans="1:8" x14ac:dyDescent="0.35">
      <c r="A10" s="72" t="s">
        <v>62</v>
      </c>
      <c r="B10" s="73">
        <f>SUM(B6:B9)</f>
        <v>12706.7</v>
      </c>
      <c r="C10" s="121">
        <f>SUM(C6:C9)</f>
        <v>12560</v>
      </c>
      <c r="D10" s="73">
        <f>C10-B10</f>
        <v>-146.70000000000073</v>
      </c>
      <c r="E10" s="65">
        <f>D10/B10</f>
        <v>-1.1545090385387292E-2</v>
      </c>
      <c r="F10" s="65">
        <f>B10/Historical!S10-1</f>
        <v>0.14691759184041886</v>
      </c>
      <c r="G10" s="65">
        <f>C10/Historical!S10-1</f>
        <v>0.13367632457803058</v>
      </c>
      <c r="H10" s="67">
        <f>(G10-F10)*100</f>
        <v>-1.3241267262388279</v>
      </c>
    </row>
    <row r="11" spans="1:8" x14ac:dyDescent="0.35">
      <c r="A11" s="64"/>
      <c r="B11" s="64"/>
      <c r="C11" s="64"/>
      <c r="D11" s="64"/>
      <c r="E11" s="64"/>
      <c r="F11" s="64"/>
      <c r="G11" s="64"/>
      <c r="H11" s="64"/>
    </row>
    <row r="12" spans="1:8" x14ac:dyDescent="0.35">
      <c r="A12" s="8" t="s">
        <v>131</v>
      </c>
      <c r="B12" s="64"/>
      <c r="C12" s="64"/>
      <c r="D12" s="64"/>
      <c r="E12" s="64"/>
      <c r="F12" s="64"/>
      <c r="G12" s="64"/>
      <c r="H12" s="64"/>
    </row>
    <row r="13" spans="1:8" x14ac:dyDescent="0.35">
      <c r="A13" s="64"/>
      <c r="B13" s="64"/>
      <c r="C13" s="64"/>
      <c r="D13" s="64"/>
      <c r="E13" s="64"/>
      <c r="F13" s="64"/>
      <c r="G13" s="64"/>
      <c r="H13" s="64"/>
    </row>
    <row r="14" spans="1:8" x14ac:dyDescent="0.35">
      <c r="A14" s="64"/>
      <c r="B14" s="64"/>
      <c r="C14" s="64"/>
      <c r="D14" s="64"/>
      <c r="E14" s="64"/>
      <c r="F14" s="64"/>
      <c r="G14" s="64"/>
      <c r="H14" s="64"/>
    </row>
    <row r="15" spans="1:8" x14ac:dyDescent="0.35">
      <c r="A15" s="51" t="s">
        <v>123</v>
      </c>
      <c r="B15" s="51"/>
      <c r="C15" s="51"/>
      <c r="D15" s="51"/>
      <c r="E15" s="51"/>
      <c r="F15" s="51"/>
      <c r="G15" s="51"/>
      <c r="H15" s="51"/>
    </row>
    <row r="16" spans="1:8" x14ac:dyDescent="0.35">
      <c r="A16" s="70" t="s">
        <v>185</v>
      </c>
      <c r="B16" s="63">
        <f>B10</f>
        <v>12706.7</v>
      </c>
      <c r="C16" s="64"/>
      <c r="D16" s="64"/>
      <c r="E16" s="64"/>
      <c r="F16" s="64"/>
      <c r="G16" s="64"/>
      <c r="H16" s="64"/>
    </row>
    <row r="17" spans="1:8" x14ac:dyDescent="0.35">
      <c r="A17" s="74" t="s">
        <v>134</v>
      </c>
      <c r="B17" s="63">
        <f>D6</f>
        <v>-88.480000000000473</v>
      </c>
      <c r="C17" s="64"/>
      <c r="D17" s="64"/>
      <c r="E17" s="64"/>
      <c r="F17" s="64"/>
      <c r="G17" s="64"/>
      <c r="H17" s="64"/>
    </row>
    <row r="18" spans="1:8" x14ac:dyDescent="0.35">
      <c r="A18" s="74" t="s">
        <v>186</v>
      </c>
      <c r="B18" s="63">
        <f>D7</f>
        <v>-70.079999999999927</v>
      </c>
      <c r="C18" s="64"/>
      <c r="D18" s="64"/>
      <c r="E18" s="64"/>
      <c r="F18" s="64"/>
      <c r="G18" s="64"/>
      <c r="H18" s="64"/>
    </row>
    <row r="19" spans="1:8" x14ac:dyDescent="0.35">
      <c r="A19" s="74" t="s">
        <v>133</v>
      </c>
      <c r="B19" s="63">
        <f>D8</f>
        <v>54.810000000000173</v>
      </c>
      <c r="C19" s="64"/>
      <c r="D19" s="64"/>
      <c r="E19" s="64"/>
      <c r="F19" s="64"/>
      <c r="G19" s="64"/>
      <c r="H19" s="64"/>
    </row>
    <row r="20" spans="1:8" x14ac:dyDescent="0.35">
      <c r="A20" s="74" t="s">
        <v>132</v>
      </c>
      <c r="B20" s="63">
        <f>D9</f>
        <v>-42.949999999999818</v>
      </c>
      <c r="C20" s="64"/>
      <c r="D20" s="64"/>
      <c r="E20" s="64"/>
      <c r="F20" s="64"/>
      <c r="G20" s="64"/>
      <c r="H20" s="64"/>
    </row>
    <row r="21" spans="1:8" x14ac:dyDescent="0.35">
      <c r="A21" s="72" t="s">
        <v>135</v>
      </c>
      <c r="B21" s="73">
        <f>SUM(B16:B20)</f>
        <v>12560</v>
      </c>
      <c r="C21" s="64"/>
      <c r="D21" s="64"/>
      <c r="E21" s="64"/>
      <c r="F21" s="64"/>
      <c r="G21" s="64"/>
      <c r="H21" s="64"/>
    </row>
    <row r="22" spans="1:8" x14ac:dyDescent="0.35">
      <c r="A22" s="64"/>
      <c r="B22" s="64"/>
      <c r="C22" s="64"/>
      <c r="D22" s="64"/>
      <c r="E22" s="64"/>
      <c r="F22" s="64"/>
      <c r="G22" s="64"/>
      <c r="H22" s="64"/>
    </row>
    <row r="23" spans="1:8" x14ac:dyDescent="0.35">
      <c r="A23" s="64"/>
      <c r="B23" s="64"/>
      <c r="C23" s="64"/>
      <c r="D23" s="64"/>
      <c r="E23" s="64"/>
      <c r="F23" s="64"/>
      <c r="G23" s="64"/>
      <c r="H23" s="64"/>
    </row>
    <row r="24" spans="1:8" x14ac:dyDescent="0.35">
      <c r="A24" s="51" t="s">
        <v>136</v>
      </c>
      <c r="B24" s="51"/>
      <c r="C24" s="51"/>
      <c r="D24" s="51"/>
      <c r="E24" s="51"/>
      <c r="F24" s="51"/>
      <c r="G24" s="51"/>
      <c r="H24" s="51"/>
    </row>
    <row r="25" spans="1:8" x14ac:dyDescent="0.35">
      <c r="A25" s="44" t="s">
        <v>109</v>
      </c>
      <c r="B25" s="44" t="s">
        <v>125</v>
      </c>
      <c r="C25" s="44" t="s">
        <v>126</v>
      </c>
      <c r="D25" s="44" t="s">
        <v>137</v>
      </c>
      <c r="E25" s="44" t="s">
        <v>128</v>
      </c>
      <c r="F25" s="64"/>
      <c r="G25" s="64"/>
      <c r="H25" s="64"/>
    </row>
    <row r="26" spans="1:8" x14ac:dyDescent="0.35">
      <c r="A26" s="70" t="s">
        <v>138</v>
      </c>
      <c r="B26" s="63">
        <f>B10</f>
        <v>12706.7</v>
      </c>
      <c r="C26" s="63">
        <f>C10</f>
        <v>12560</v>
      </c>
      <c r="D26" s="63">
        <f>C26-B26</f>
        <v>-146.70000000000073</v>
      </c>
      <c r="E26" s="69">
        <f>D26/B26</f>
        <v>-1.1545090385387292E-2</v>
      </c>
      <c r="F26" s="64"/>
      <c r="G26" s="64"/>
      <c r="H26" s="64"/>
    </row>
    <row r="27" spans="1:8" x14ac:dyDescent="0.35">
      <c r="A27" s="70" t="s">
        <v>19</v>
      </c>
      <c r="B27" s="69">
        <f>Scenario!B42</f>
        <v>0.3</v>
      </c>
      <c r="C27" s="69">
        <f>C28/C26</f>
        <v>0.33383757961783439</v>
      </c>
      <c r="D27" s="75">
        <f>C27-B27</f>
        <v>3.3837579617834401E-2</v>
      </c>
      <c r="E27" s="69">
        <f>D27/B27</f>
        <v>0.11279193205944801</v>
      </c>
      <c r="F27" s="64"/>
      <c r="G27" s="64"/>
      <c r="H27" s="64"/>
    </row>
    <row r="28" spans="1:8" x14ac:dyDescent="0.35">
      <c r="A28" s="72" t="s">
        <v>139</v>
      </c>
      <c r="B28" s="73">
        <f>B26*B27</f>
        <v>3812.01</v>
      </c>
      <c r="C28" s="76">
        <v>4193</v>
      </c>
      <c r="D28" s="73">
        <f>C28-B28</f>
        <v>380.98999999999978</v>
      </c>
      <c r="E28" s="65">
        <f>D28/B28</f>
        <v>9.9944648623691901E-2</v>
      </c>
      <c r="F28" s="64"/>
      <c r="G28" s="64"/>
      <c r="H28" s="64"/>
    </row>
    <row r="29" spans="1:8" x14ac:dyDescent="0.35">
      <c r="A29" s="64"/>
      <c r="B29" s="64"/>
      <c r="C29" s="64"/>
      <c r="D29" s="64"/>
      <c r="E29" s="64"/>
      <c r="F29" s="64"/>
      <c r="G29" s="64"/>
      <c r="H29" s="64"/>
    </row>
    <row r="30" spans="1:8" x14ac:dyDescent="0.35">
      <c r="A30" s="51" t="s">
        <v>140</v>
      </c>
      <c r="B30" s="51"/>
      <c r="C30" s="51"/>
      <c r="D30" s="51"/>
      <c r="E30" s="51"/>
      <c r="F30" s="51"/>
      <c r="G30" s="51"/>
      <c r="H30" s="51"/>
    </row>
    <row r="31" spans="1:8" x14ac:dyDescent="0.35">
      <c r="A31" s="70" t="s">
        <v>141</v>
      </c>
      <c r="B31" s="63">
        <f>(C26-B26)*B27</f>
        <v>-44.010000000000218</v>
      </c>
      <c r="C31" s="64"/>
      <c r="D31" s="64"/>
      <c r="E31" s="64"/>
      <c r="F31" s="64"/>
      <c r="G31" s="64"/>
      <c r="H31" s="64"/>
    </row>
    <row r="32" spans="1:8" x14ac:dyDescent="0.35">
      <c r="A32" s="70" t="s">
        <v>142</v>
      </c>
      <c r="B32" s="63">
        <f>(C27-B27)*C26</f>
        <v>425.00000000000006</v>
      </c>
      <c r="C32" s="64"/>
      <c r="D32" s="64"/>
      <c r="E32" s="64"/>
      <c r="F32" s="64"/>
      <c r="G32" s="64"/>
      <c r="H32" s="64"/>
    </row>
    <row r="33" spans="1:8" x14ac:dyDescent="0.35">
      <c r="A33" s="72" t="s">
        <v>143</v>
      </c>
      <c r="B33" s="73">
        <f>B31+B32</f>
        <v>380.98999999999984</v>
      </c>
      <c r="C33" s="64"/>
      <c r="D33" s="64"/>
      <c r="E33" s="64"/>
      <c r="F33" s="64"/>
      <c r="G33" s="64"/>
      <c r="H33" s="64"/>
    </row>
    <row r="34" spans="1:8" x14ac:dyDescent="0.35">
      <c r="A34" s="77" t="s">
        <v>144</v>
      </c>
      <c r="B34" s="78">
        <f>D28</f>
        <v>380.98999999999978</v>
      </c>
      <c r="C34" s="64"/>
      <c r="D34" s="64"/>
      <c r="E34" s="64"/>
      <c r="F34" s="64"/>
      <c r="G34" s="64"/>
      <c r="H34" s="6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E3D5-DF79-453E-A7BA-3FF6A8318B20}">
  <sheetPr>
    <tabColor rgb="FFFFC000"/>
  </sheetPr>
  <dimension ref="A1:Z72"/>
  <sheetViews>
    <sheetView topLeftCell="A48" zoomScale="71" zoomScaleNormal="100" workbookViewId="0">
      <selection activeCell="W60" sqref="W60"/>
    </sheetView>
  </sheetViews>
  <sheetFormatPr defaultRowHeight="14.5" x14ac:dyDescent="0.35"/>
  <cols>
    <col min="1" max="1" width="28.54296875" customWidth="1"/>
    <col min="2" max="26" width="11.81640625" customWidth="1"/>
  </cols>
  <sheetData>
    <row r="1" spans="1:26" ht="18" x14ac:dyDescent="0.4">
      <c r="A1" s="88" t="s">
        <v>148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x14ac:dyDescent="0.3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50" spans="1:26" x14ac:dyDescent="0.35">
      <c r="A50" s="89" t="s">
        <v>152</v>
      </c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spans="1:26" x14ac:dyDescent="0.35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spans="1:26" x14ac:dyDescent="0.35">
      <c r="A52" s="91" t="s">
        <v>150</v>
      </c>
      <c r="B52" s="90" t="str">
        <f>Historical!B4</f>
        <v>Q1'21</v>
      </c>
      <c r="C52" s="90" t="str">
        <f>Historical!C4</f>
        <v>Q2'21</v>
      </c>
      <c r="D52" s="90" t="str">
        <f>Historical!D4</f>
        <v>Q3'21</v>
      </c>
      <c r="E52" s="90" t="str">
        <f>Historical!E4</f>
        <v>Q4'21</v>
      </c>
      <c r="F52" s="90" t="str">
        <f>Historical!F4</f>
        <v>Q1'22</v>
      </c>
      <c r="G52" s="90" t="str">
        <f>Historical!G4</f>
        <v>Q2'22</v>
      </c>
      <c r="H52" s="90" t="str">
        <f>Historical!H4</f>
        <v>Q3'22</v>
      </c>
      <c r="I52" s="90" t="str">
        <f>Historical!I4</f>
        <v>Q4'22</v>
      </c>
      <c r="J52" s="90" t="str">
        <f>Historical!J4</f>
        <v>Q1'23</v>
      </c>
      <c r="K52" s="90" t="str">
        <f>Historical!K4</f>
        <v>Q2'23</v>
      </c>
      <c r="L52" s="90" t="str">
        <f>Historical!L4</f>
        <v>Q3'23</v>
      </c>
      <c r="M52" s="90" t="str">
        <f>Historical!M4</f>
        <v>Q4'23</v>
      </c>
      <c r="N52" s="90" t="str">
        <f>Historical!N4</f>
        <v>Q1'24</v>
      </c>
      <c r="O52" s="90" t="str">
        <f>Historical!O4</f>
        <v>Q2'24</v>
      </c>
      <c r="P52" s="90" t="str">
        <f>Historical!P4</f>
        <v>Q3'24</v>
      </c>
      <c r="Q52" s="90" t="str">
        <f>Historical!Q4</f>
        <v>Q4'24</v>
      </c>
      <c r="R52" s="90" t="str">
        <f>Historical!R4</f>
        <v>Q1'25</v>
      </c>
      <c r="S52" s="90" t="str">
        <f>Historical!S4</f>
        <v>Q2'25</v>
      </c>
      <c r="T52" s="90" t="str">
        <f>Historical!T4</f>
        <v>Q3'25</v>
      </c>
      <c r="U52" s="90" t="str">
        <f>Historical!U4</f>
        <v>Q4'25</v>
      </c>
      <c r="V52" s="90" t="str">
        <f>Historical!V4</f>
        <v>Q1'26</v>
      </c>
      <c r="W52" s="90" t="str">
        <f>'Revenue Build'!B17</f>
        <v>Q2'26</v>
      </c>
      <c r="X52" s="90" t="str">
        <f>'Revenue Build'!C17</f>
        <v>Q3'26</v>
      </c>
      <c r="Y52" s="90" t="str">
        <f>'Revenue Build'!D17</f>
        <v>Q4'26</v>
      </c>
      <c r="Z52" s="90" t="str">
        <f>'Revenue Build'!E17</f>
        <v>Q1'27</v>
      </c>
    </row>
    <row r="53" spans="1:26" x14ac:dyDescent="0.35">
      <c r="A53" s="92" t="s">
        <v>151</v>
      </c>
      <c r="B53" s="93">
        <f>Historical!B11</f>
        <v>7163</v>
      </c>
      <c r="C53" s="93">
        <f>Historical!C11</f>
        <v>7342</v>
      </c>
      <c r="D53" s="93">
        <f>Historical!D11</f>
        <v>7483</v>
      </c>
      <c r="E53" s="93">
        <f>Historical!E11</f>
        <v>7709</v>
      </c>
      <c r="F53" s="93">
        <f>Historical!F11</f>
        <v>7868</v>
      </c>
      <c r="G53" s="93">
        <f>Historical!G11</f>
        <v>7970</v>
      </c>
      <c r="H53" s="93">
        <f>Historical!H11</f>
        <v>7926</v>
      </c>
      <c r="I53" s="93">
        <f>Historical!I11</f>
        <v>7852</v>
      </c>
      <c r="J53" s="93">
        <f>Historical!J11</f>
        <v>8162</v>
      </c>
      <c r="K53" s="93">
        <f>Historical!K11</f>
        <v>8187</v>
      </c>
      <c r="L53" s="93">
        <f>Historical!L11</f>
        <v>8542</v>
      </c>
      <c r="M53" s="93">
        <f>Historical!M11</f>
        <v>8833</v>
      </c>
      <c r="N53" s="93">
        <f>Historical!N11</f>
        <v>9370</v>
      </c>
      <c r="O53" s="93">
        <f>Historical!O11</f>
        <v>9559</v>
      </c>
      <c r="P53" s="93">
        <f>Historical!P11</f>
        <v>9825</v>
      </c>
      <c r="Q53" s="93">
        <f>Historical!Q11</f>
        <v>10247</v>
      </c>
      <c r="R53" s="93">
        <f>Historical!R11</f>
        <v>10543</v>
      </c>
      <c r="S53" s="93">
        <f>Historical!S11</f>
        <v>11079</v>
      </c>
      <c r="T53" s="93">
        <f>Historical!T11</f>
        <v>11510</v>
      </c>
      <c r="U53" s="93">
        <f>Historical!U11</f>
        <v>12051</v>
      </c>
      <c r="V53" s="93">
        <f>Historical!V11</f>
        <v>12249</v>
      </c>
      <c r="W53" s="93">
        <f>'Revenue Build'!B22</f>
        <v>12706.7</v>
      </c>
      <c r="X53" s="93">
        <f>'Revenue Build'!C22</f>
        <v>13089.550000000001</v>
      </c>
      <c r="Y53" s="93">
        <f>'Revenue Build'!D22</f>
        <v>13634.33</v>
      </c>
      <c r="Z53" s="93">
        <f>'Revenue Build'!E22</f>
        <v>13814.300000000001</v>
      </c>
    </row>
    <row r="54" spans="1:26" x14ac:dyDescent="0.35">
      <c r="A54" s="92" t="s">
        <v>149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4">
        <f>Variance!C26</f>
        <v>12560</v>
      </c>
      <c r="X54" s="93"/>
      <c r="Y54" s="93"/>
      <c r="Z54" s="93"/>
    </row>
    <row r="55" spans="1:26" x14ac:dyDescent="0.3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26" x14ac:dyDescent="0.35">
      <c r="A56" s="91" t="s">
        <v>150</v>
      </c>
      <c r="B56" s="90" t="str">
        <f>Historical!B4</f>
        <v>Q1'21</v>
      </c>
      <c r="C56" s="90" t="str">
        <f>Historical!C4</f>
        <v>Q2'21</v>
      </c>
      <c r="D56" s="90" t="str">
        <f>Historical!D4</f>
        <v>Q3'21</v>
      </c>
      <c r="E56" s="90" t="str">
        <f>Historical!E4</f>
        <v>Q4'21</v>
      </c>
      <c r="F56" s="90" t="str">
        <f>Historical!F4</f>
        <v>Q1'22</v>
      </c>
      <c r="G56" s="90" t="str">
        <f>Historical!G4</f>
        <v>Q2'22</v>
      </c>
      <c r="H56" s="90" t="str">
        <f>Historical!H4</f>
        <v>Q3'22</v>
      </c>
      <c r="I56" s="90" t="str">
        <f>Historical!I4</f>
        <v>Q4'22</v>
      </c>
      <c r="J56" s="90" t="str">
        <f>Historical!J4</f>
        <v>Q1'23</v>
      </c>
      <c r="K56" s="90" t="str">
        <f>Historical!K4</f>
        <v>Q2'23</v>
      </c>
      <c r="L56" s="90" t="str">
        <f>Historical!L4</f>
        <v>Q3'23</v>
      </c>
      <c r="M56" s="90" t="str">
        <f>Historical!M4</f>
        <v>Q4'23</v>
      </c>
      <c r="N56" s="90" t="str">
        <f>Historical!N4</f>
        <v>Q1'24</v>
      </c>
      <c r="O56" s="90" t="str">
        <f>Historical!O4</f>
        <v>Q2'24</v>
      </c>
      <c r="P56" s="90" t="str">
        <f>Historical!P4</f>
        <v>Q3'24</v>
      </c>
      <c r="Q56" s="90" t="str">
        <f>Historical!Q4</f>
        <v>Q4'24</v>
      </c>
      <c r="R56" s="90" t="str">
        <f>Historical!R4</f>
        <v>Q1'25</v>
      </c>
      <c r="S56" s="90" t="str">
        <f>Historical!S4</f>
        <v>Q2'25</v>
      </c>
      <c r="T56" s="90" t="str">
        <f>Historical!T4</f>
        <v>Q3'25</v>
      </c>
      <c r="U56" s="90" t="str">
        <f>Historical!U4</f>
        <v>Q4'25</v>
      </c>
      <c r="V56" s="90" t="str">
        <f>Historical!V4</f>
        <v>Q1'26</v>
      </c>
      <c r="W56" s="87"/>
      <c r="X56" s="87"/>
      <c r="Y56" s="87"/>
      <c r="Z56" s="87"/>
    </row>
    <row r="57" spans="1:26" x14ac:dyDescent="0.35">
      <c r="A57" s="95" t="s">
        <v>26</v>
      </c>
      <c r="B57" s="93">
        <f>Historical!B6</f>
        <v>3171</v>
      </c>
      <c r="C57" s="93">
        <f>Historical!C6</f>
        <v>3235</v>
      </c>
      <c r="D57" s="93">
        <f>Historical!D6</f>
        <v>3258</v>
      </c>
      <c r="E57" s="93">
        <f>Historical!E6</f>
        <v>3309</v>
      </c>
      <c r="F57" s="93">
        <f>Historical!F6</f>
        <v>3350</v>
      </c>
      <c r="G57" s="93">
        <f>Historical!G6</f>
        <v>3538</v>
      </c>
      <c r="H57" s="93">
        <f>Historical!H6</f>
        <v>3602</v>
      </c>
      <c r="I57" s="93">
        <f>Historical!I6</f>
        <v>3595</v>
      </c>
      <c r="J57" s="93">
        <f>Historical!J6</f>
        <v>3609</v>
      </c>
      <c r="K57" s="93">
        <f>Historical!K6</f>
        <v>3599</v>
      </c>
      <c r="L57" s="93">
        <f>Historical!L6</f>
        <v>3735</v>
      </c>
      <c r="M57" s="93">
        <f>Historical!M6</f>
        <v>3931</v>
      </c>
      <c r="N57" s="93">
        <f>Historical!N6</f>
        <v>4224</v>
      </c>
      <c r="O57" s="93">
        <f>Historical!O6</f>
        <v>4296</v>
      </c>
      <c r="P57" s="93">
        <f>Historical!P6</f>
        <v>4322</v>
      </c>
      <c r="Q57" s="93">
        <f>Historical!Q6</f>
        <v>4517</v>
      </c>
      <c r="R57" s="93">
        <f>Historical!R6</f>
        <v>4617</v>
      </c>
      <c r="S57" s="93">
        <f>Historical!S6</f>
        <v>4929</v>
      </c>
      <c r="T57" s="93">
        <f>Historical!T6</f>
        <v>5072</v>
      </c>
      <c r="U57" s="93">
        <f>Historical!U6</f>
        <v>5339</v>
      </c>
      <c r="V57" s="93">
        <f>Historical!V6</f>
        <v>5245</v>
      </c>
      <c r="W57" s="87"/>
      <c r="X57" s="87"/>
      <c r="Y57" s="87"/>
      <c r="Z57" s="87"/>
    </row>
    <row r="58" spans="1:26" x14ac:dyDescent="0.35">
      <c r="A58" s="95" t="s">
        <v>27</v>
      </c>
      <c r="B58" s="93">
        <f>Historical!B7</f>
        <v>2344</v>
      </c>
      <c r="C58" s="93">
        <f>Historical!C7</f>
        <v>2400</v>
      </c>
      <c r="D58" s="93">
        <f>Historical!D7</f>
        <v>2432</v>
      </c>
      <c r="E58" s="93">
        <f>Historical!E7</f>
        <v>2523</v>
      </c>
      <c r="F58" s="93">
        <f>Historical!F7</f>
        <v>2562</v>
      </c>
      <c r="G58" s="93">
        <f>Historical!G7</f>
        <v>2457</v>
      </c>
      <c r="H58" s="93">
        <f>Historical!H7</f>
        <v>2376</v>
      </c>
      <c r="I58" s="93">
        <f>Historical!I7</f>
        <v>2350</v>
      </c>
      <c r="J58" s="93">
        <f>Historical!J7</f>
        <v>2518</v>
      </c>
      <c r="K58" s="93">
        <f>Historical!K7</f>
        <v>2562</v>
      </c>
      <c r="L58" s="93">
        <f>Historical!L7</f>
        <v>2693</v>
      </c>
      <c r="M58" s="93">
        <f>Historical!M7</f>
        <v>2784</v>
      </c>
      <c r="N58" s="93">
        <f>Historical!N7</f>
        <v>2958</v>
      </c>
      <c r="O58" s="93">
        <f>Historical!O7</f>
        <v>3008</v>
      </c>
      <c r="P58" s="93">
        <f>Historical!P7</f>
        <v>3133</v>
      </c>
      <c r="Q58" s="93">
        <f>Historical!Q7</f>
        <v>3288</v>
      </c>
      <c r="R58" s="93">
        <f>Historical!R7</f>
        <v>3405</v>
      </c>
      <c r="S58" s="93">
        <f>Historical!S7</f>
        <v>3538</v>
      </c>
      <c r="T58" s="93">
        <f>Historical!T7</f>
        <v>3699</v>
      </c>
      <c r="U58" s="93">
        <f>Historical!U7</f>
        <v>3873</v>
      </c>
      <c r="V58" s="93">
        <f>Historical!V7</f>
        <v>3998</v>
      </c>
      <c r="W58" s="87"/>
      <c r="X58" s="87"/>
      <c r="Y58" s="87"/>
      <c r="Z58" s="87"/>
    </row>
    <row r="59" spans="1:26" x14ac:dyDescent="0.35">
      <c r="A59" s="95" t="s">
        <v>28</v>
      </c>
      <c r="B59" s="93">
        <f>Historical!B8</f>
        <v>837</v>
      </c>
      <c r="C59" s="93">
        <f>Historical!C8</f>
        <v>861</v>
      </c>
      <c r="D59" s="93">
        <f>Historical!D8</f>
        <v>915</v>
      </c>
      <c r="E59" s="93">
        <f>Historical!E8</f>
        <v>964</v>
      </c>
      <c r="F59" s="93">
        <f>Historical!F8</f>
        <v>999</v>
      </c>
      <c r="G59" s="93">
        <f>Historical!G8</f>
        <v>1030</v>
      </c>
      <c r="H59" s="93">
        <f>Historical!H8</f>
        <v>1024</v>
      </c>
      <c r="I59" s="93">
        <f>Historical!I8</f>
        <v>1017</v>
      </c>
      <c r="J59" s="93">
        <f>Historical!J8</f>
        <v>1070</v>
      </c>
      <c r="K59" s="93">
        <f>Historical!K8</f>
        <v>1077</v>
      </c>
      <c r="L59" s="93">
        <f>Historical!L8</f>
        <v>1143</v>
      </c>
      <c r="M59" s="93">
        <f>Historical!M8</f>
        <v>1156</v>
      </c>
      <c r="N59" s="93">
        <f>Historical!N8</f>
        <v>1165</v>
      </c>
      <c r="O59" s="93">
        <f>Historical!O8</f>
        <v>1204</v>
      </c>
      <c r="P59" s="93">
        <f>Historical!P8</f>
        <v>1241</v>
      </c>
      <c r="Q59" s="93">
        <f>Historical!Q8</f>
        <v>1230</v>
      </c>
      <c r="R59" s="93">
        <f>Historical!R8</f>
        <v>1262</v>
      </c>
      <c r="S59" s="93">
        <f>Historical!S8</f>
        <v>1307</v>
      </c>
      <c r="T59" s="93">
        <f>Historical!T8</f>
        <v>1371</v>
      </c>
      <c r="U59" s="93">
        <f>Historical!U8</f>
        <v>1418</v>
      </c>
      <c r="V59" s="93">
        <f>Historical!V8</f>
        <v>1497</v>
      </c>
      <c r="W59" s="87"/>
      <c r="X59" s="87"/>
      <c r="Y59" s="87"/>
      <c r="Z59" s="87"/>
    </row>
    <row r="60" spans="1:26" x14ac:dyDescent="0.35">
      <c r="A60" s="95" t="s">
        <v>29</v>
      </c>
      <c r="B60" s="93">
        <f>Historical!B9</f>
        <v>762</v>
      </c>
      <c r="C60" s="93">
        <f>Historical!C9</f>
        <v>799</v>
      </c>
      <c r="D60" s="93">
        <f>Historical!D9</f>
        <v>834</v>
      </c>
      <c r="E60" s="93">
        <f>Historical!E9</f>
        <v>871</v>
      </c>
      <c r="F60" s="93">
        <f>Historical!F9</f>
        <v>917</v>
      </c>
      <c r="G60" s="93">
        <f>Historical!G9</f>
        <v>908</v>
      </c>
      <c r="H60" s="93">
        <f>Historical!H9</f>
        <v>889</v>
      </c>
      <c r="I60" s="93">
        <f>Historical!I9</f>
        <v>857</v>
      </c>
      <c r="J60" s="93">
        <f>Historical!J9</f>
        <v>934</v>
      </c>
      <c r="K60" s="93">
        <f>Historical!K9</f>
        <v>919</v>
      </c>
      <c r="L60" s="93">
        <f>Historical!L9</f>
        <v>948</v>
      </c>
      <c r="M60" s="93">
        <f>Historical!M9</f>
        <v>963</v>
      </c>
      <c r="N60" s="93">
        <f>Historical!N9</f>
        <v>1023</v>
      </c>
      <c r="O60" s="93">
        <f>Historical!O9</f>
        <v>1052</v>
      </c>
      <c r="P60" s="93">
        <f>Historical!P9</f>
        <v>1128</v>
      </c>
      <c r="Q60" s="93">
        <f>Historical!Q9</f>
        <v>1212</v>
      </c>
      <c r="R60" s="93">
        <f>Historical!R9</f>
        <v>1259</v>
      </c>
      <c r="S60" s="93">
        <f>Historical!S9</f>
        <v>1305</v>
      </c>
      <c r="T60" s="93">
        <f>Historical!T9</f>
        <v>1369</v>
      </c>
      <c r="U60" s="93">
        <f>Historical!U9</f>
        <v>1421</v>
      </c>
      <c r="V60" s="93">
        <f>Historical!V9</f>
        <v>1509</v>
      </c>
      <c r="W60" s="87"/>
      <c r="X60" s="87"/>
      <c r="Y60" s="87"/>
      <c r="Z60" s="87"/>
    </row>
    <row r="61" spans="1:26" x14ac:dyDescent="0.35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spans="1:26" x14ac:dyDescent="0.35">
      <c r="A62" s="91" t="s">
        <v>150</v>
      </c>
      <c r="B62" s="90" t="str">
        <f>Historical!B4</f>
        <v>Q1'21</v>
      </c>
      <c r="C62" s="90" t="str">
        <f>Historical!C4</f>
        <v>Q2'21</v>
      </c>
      <c r="D62" s="90" t="str">
        <f>Historical!D4</f>
        <v>Q3'21</v>
      </c>
      <c r="E62" s="90" t="str">
        <f>Historical!E4</f>
        <v>Q4'21</v>
      </c>
      <c r="F62" s="90" t="str">
        <f>Historical!F4</f>
        <v>Q1'22</v>
      </c>
      <c r="G62" s="90" t="str">
        <f>Historical!G4</f>
        <v>Q2'22</v>
      </c>
      <c r="H62" s="90" t="str">
        <f>Historical!H4</f>
        <v>Q3'22</v>
      </c>
      <c r="I62" s="90" t="str">
        <f>Historical!I4</f>
        <v>Q4'22</v>
      </c>
      <c r="J62" s="90" t="str">
        <f>Historical!J4</f>
        <v>Q1'23</v>
      </c>
      <c r="K62" s="90" t="str">
        <f>Historical!K4</f>
        <v>Q2'23</v>
      </c>
      <c r="L62" s="90" t="str">
        <f>Historical!L4</f>
        <v>Q3'23</v>
      </c>
      <c r="M62" s="90" t="str">
        <f>Historical!M4</f>
        <v>Q4'23</v>
      </c>
      <c r="N62" s="90" t="str">
        <f>Historical!N4</f>
        <v>Q1'24</v>
      </c>
      <c r="O62" s="90" t="str">
        <f>Historical!O4</f>
        <v>Q2'24</v>
      </c>
      <c r="P62" s="90" t="str">
        <f>Historical!P4</f>
        <v>Q3'24</v>
      </c>
      <c r="Q62" s="90" t="str">
        <f>Historical!Q4</f>
        <v>Q4'24</v>
      </c>
      <c r="R62" s="90" t="str">
        <f>Historical!R4</f>
        <v>Q1'25</v>
      </c>
      <c r="S62" s="90" t="str">
        <f>Historical!S4</f>
        <v>Q2'25</v>
      </c>
      <c r="T62" s="90" t="str">
        <f>Historical!T4</f>
        <v>Q3'25</v>
      </c>
      <c r="U62" s="90" t="str">
        <f>Historical!U4</f>
        <v>Q4'25</v>
      </c>
      <c r="V62" s="90" t="str">
        <f>Historical!V4</f>
        <v>Q1'26</v>
      </c>
      <c r="W62" s="87"/>
      <c r="X62" s="87"/>
      <c r="Y62" s="87"/>
      <c r="Z62" s="87"/>
    </row>
    <row r="63" spans="1:26" x14ac:dyDescent="0.35">
      <c r="A63" s="92" t="s">
        <v>19</v>
      </c>
      <c r="B63" s="96">
        <f>Historical!B16</f>
        <v>0.27400000000000002</v>
      </c>
      <c r="C63" s="96">
        <f>Historical!C16</f>
        <v>0.252</v>
      </c>
      <c r="D63" s="96">
        <f>Historical!D16</f>
        <v>0.23499999999999999</v>
      </c>
      <c r="E63" s="96">
        <f>Historical!E16</f>
        <v>8.2000000000000003E-2</v>
      </c>
      <c r="F63" s="96">
        <f>Historical!F16</f>
        <v>0.251</v>
      </c>
      <c r="G63" s="96">
        <f>Historical!G16</f>
        <v>0.19800000000000001</v>
      </c>
      <c r="H63" s="96">
        <f>Historical!H16</f>
        <v>0.193</v>
      </c>
      <c r="I63" s="96">
        <f>Historical!I16</f>
        <v>7.0000000000000007E-2</v>
      </c>
      <c r="J63" s="96">
        <f>Historical!J16</f>
        <v>0.21</v>
      </c>
      <c r="K63" s="96">
        <f>Historical!K16</f>
        <v>0.223</v>
      </c>
      <c r="L63" s="96">
        <f>Historical!L16</f>
        <v>0.224</v>
      </c>
      <c r="M63" s="96">
        <f>Historical!M16</f>
        <v>0.16900000000000001</v>
      </c>
      <c r="N63" s="96">
        <f>Historical!N16</f>
        <v>0.28100000000000003</v>
      </c>
      <c r="O63" s="96">
        <f>Historical!O16</f>
        <v>0.27200000000000002</v>
      </c>
      <c r="P63" s="96">
        <f>Historical!P16</f>
        <v>0.29599999999999999</v>
      </c>
      <c r="Q63" s="96">
        <f>Historical!Q16</f>
        <v>0.222</v>
      </c>
      <c r="R63" s="96">
        <f>Historical!R16</f>
        <v>0.317</v>
      </c>
      <c r="S63" s="96">
        <f>Historical!S16</f>
        <v>0.34100000000000003</v>
      </c>
      <c r="T63" s="96">
        <f>Historical!T16</f>
        <v>0.28199999999999997</v>
      </c>
      <c r="U63" s="96">
        <f>Historical!U16</f>
        <v>0.245</v>
      </c>
      <c r="V63" s="96">
        <f>Historical!V16</f>
        <v>0.32300000000000001</v>
      </c>
      <c r="W63" s="87"/>
      <c r="X63" s="87"/>
      <c r="Y63" s="87"/>
      <c r="Z63" s="87"/>
    </row>
    <row r="65" spans="1:6" x14ac:dyDescent="0.35">
      <c r="A65" s="91" t="s">
        <v>153</v>
      </c>
      <c r="B65" s="90" t="s">
        <v>154</v>
      </c>
      <c r="C65" s="90" t="s">
        <v>155</v>
      </c>
      <c r="D65" s="90" t="s">
        <v>156</v>
      </c>
      <c r="E65" s="90" t="s">
        <v>157</v>
      </c>
      <c r="F65" s="90" t="s">
        <v>158</v>
      </c>
    </row>
    <row r="66" spans="1:6" x14ac:dyDescent="0.35">
      <c r="A66" s="95" t="str">
        <f>Variance!A16</f>
        <v>Base Forecast Total</v>
      </c>
      <c r="B66" s="93">
        <f>0</f>
        <v>0</v>
      </c>
      <c r="C66" s="93">
        <f>0</f>
        <v>0</v>
      </c>
      <c r="D66" s="93">
        <f>0</f>
        <v>0</v>
      </c>
      <c r="E66" s="93">
        <f>F66</f>
        <v>12706.7</v>
      </c>
      <c r="F66" s="93">
        <f>Variance!B16</f>
        <v>12706.7</v>
      </c>
    </row>
    <row r="67" spans="1:6" x14ac:dyDescent="0.35">
      <c r="A67" s="95" t="str">
        <f>Variance!A17</f>
        <v>UCAN variance</v>
      </c>
      <c r="B67" s="93">
        <f>MIN(F66,F67)</f>
        <v>12618.220000000001</v>
      </c>
      <c r="C67" s="93">
        <f>MAX(0,F67-F66)</f>
        <v>0</v>
      </c>
      <c r="D67" s="93">
        <f>MAX(0,F66-F67)</f>
        <v>88.479999999999563</v>
      </c>
      <c r="E67" s="93">
        <f>0</f>
        <v>0</v>
      </c>
      <c r="F67" s="93">
        <f>F66+Variance!B17</f>
        <v>12618.220000000001</v>
      </c>
    </row>
    <row r="68" spans="1:6" x14ac:dyDescent="0.35">
      <c r="A68" s="95" t="str">
        <f>Variance!A18</f>
        <v>EMEA variance</v>
      </c>
      <c r="B68" s="93">
        <f t="shared" ref="B68:B70" si="0">MIN(F67,F68)</f>
        <v>12548.140000000001</v>
      </c>
      <c r="C68" s="93">
        <f t="shared" ref="C68:C70" si="1">MAX(0,F68-F67)</f>
        <v>0</v>
      </c>
      <c r="D68" s="93">
        <f t="shared" ref="D68:D70" si="2">MAX(0,F67-F68)</f>
        <v>70.079999999999927</v>
      </c>
      <c r="E68" s="93">
        <f>0</f>
        <v>0</v>
      </c>
      <c r="F68" s="93">
        <f>F67+Variance!B18</f>
        <v>12548.140000000001</v>
      </c>
    </row>
    <row r="69" spans="1:6" x14ac:dyDescent="0.35">
      <c r="A69" s="95" t="str">
        <f>Variance!A19</f>
        <v>LATAM variance</v>
      </c>
      <c r="B69" s="93">
        <f t="shared" si="0"/>
        <v>12548.140000000001</v>
      </c>
      <c r="C69" s="93">
        <f t="shared" si="1"/>
        <v>54.809999999999491</v>
      </c>
      <c r="D69" s="93">
        <f t="shared" si="2"/>
        <v>0</v>
      </c>
      <c r="E69" s="93">
        <f>0</f>
        <v>0</v>
      </c>
      <c r="F69" s="93">
        <f>F68+Variance!B19</f>
        <v>12602.95</v>
      </c>
    </row>
    <row r="70" spans="1:6" x14ac:dyDescent="0.35">
      <c r="A70" s="95" t="str">
        <f>Variance!A20</f>
        <v>APAC variance</v>
      </c>
      <c r="B70" s="93">
        <f t="shared" si="0"/>
        <v>12560</v>
      </c>
      <c r="C70" s="93">
        <f t="shared" si="1"/>
        <v>0</v>
      </c>
      <c r="D70" s="93">
        <f t="shared" si="2"/>
        <v>42.950000000000728</v>
      </c>
      <c r="E70" s="93">
        <f>0</f>
        <v>0</v>
      </c>
      <c r="F70" s="93">
        <f>F69+Variance!B20</f>
        <v>12560</v>
      </c>
    </row>
    <row r="71" spans="1:6" x14ac:dyDescent="0.35">
      <c r="A71" s="95" t="str">
        <f>Variance!A21</f>
        <v>Actual Total</v>
      </c>
      <c r="B71" s="93">
        <f>0</f>
        <v>0</v>
      </c>
      <c r="C71" s="93">
        <f>0</f>
        <v>0</v>
      </c>
      <c r="D71" s="93">
        <f>0</f>
        <v>0</v>
      </c>
      <c r="E71" s="93">
        <f>F71</f>
        <v>12560</v>
      </c>
      <c r="F71" s="93">
        <f>Variance!B21</f>
        <v>12560</v>
      </c>
    </row>
    <row r="72" spans="1:6" x14ac:dyDescent="0.35">
      <c r="A72" s="98" t="s">
        <v>159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Historical</vt:lpstr>
      <vt:lpstr>Revenue Build</vt:lpstr>
      <vt:lpstr>P&amp;L</vt:lpstr>
      <vt:lpstr>Scenario</vt:lpstr>
      <vt:lpstr>Variance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Franklin</dc:creator>
  <cp:lastModifiedBy>Matthew Franklin</cp:lastModifiedBy>
  <cp:lastPrinted>2026-08-07T17:55:38Z</cp:lastPrinted>
  <dcterms:created xsi:type="dcterms:W3CDTF">2026-07-02T22:47:12Z</dcterms:created>
  <dcterms:modified xsi:type="dcterms:W3CDTF">2026-08-14T00:31:06Z</dcterms:modified>
</cp:coreProperties>
</file>